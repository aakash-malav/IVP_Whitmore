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AAKASH\Downloads\"/>
    </mc:Choice>
  </mc:AlternateContent>
  <xr:revisionPtr revIDLastSave="0" documentId="13_ncr:1_{A06891BE-6B02-434E-A649-D90436142027}" xr6:coauthVersionLast="47" xr6:coauthVersionMax="47" xr10:uidLastSave="{00000000-0000-0000-0000-000000000000}"/>
  <bookViews>
    <workbookView xWindow="-108" yWindow="-108" windowWidth="23256" windowHeight="13176" tabRatio="500" firstSheet="12" activeTab="14" xr2:uid="{00000000-000D-0000-FFFF-FFFF00000000}"/>
  </bookViews>
  <sheets>
    <sheet name="Loan_Book" sheetId="1" r:id="rId1"/>
    <sheet name="Loan_Book_Summary" sheetId="2" r:id="rId2"/>
    <sheet name="Derivatives_CDS" sheetId="3" r:id="rId3"/>
    <sheet name="Derivatives_FX_Forwards" sheetId="4" r:id="rId4"/>
    <sheet name="Derivatives_IRS" sheetId="5" r:id="rId5"/>
    <sheet name="Derivatives_MTM_Summary" sheetId="6" r:id="rId6"/>
    <sheet name="Derivatives_Options" sheetId="7" r:id="rId7"/>
    <sheet name="Leased_Assets_Summary" sheetId="8" r:id="rId8"/>
    <sheet name="Cash_Ledger_Summary" sheetId="9" r:id="rId9"/>
    <sheet name="Cash_vs_Recognised" sheetId="10" r:id="rId10"/>
    <sheet name="Performance_Metrics" sheetId="11" r:id="rId11"/>
    <sheet name="Decision_Quality" sheetId="12" r:id="rId12"/>
    <sheet name="Sensitivity_Analysis" sheetId="13" r:id="rId13"/>
    <sheet name="Stakeholder_Views" sheetId="14" r:id="rId14"/>
    <sheet name="Concentration_Analysis" sheetId="16" r:id="rId15"/>
    <sheet name="Recommendations" sheetId="15" r:id="rId16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E6" i="16" l="1"/>
  <c r="E7" i="16"/>
  <c r="E8" i="16"/>
  <c r="E9" i="16"/>
  <c r="E10" i="16"/>
  <c r="E11" i="16"/>
  <c r="E12" i="16"/>
  <c r="E13" i="16"/>
  <c r="E14" i="16"/>
  <c r="E15" i="16"/>
  <c r="E16" i="16"/>
  <c r="E17" i="16"/>
  <c r="E5" i="16"/>
  <c r="C5" i="16"/>
  <c r="D5" i="16" s="1"/>
  <c r="C6" i="16"/>
  <c r="D6" i="16" s="1"/>
  <c r="C7" i="16"/>
  <c r="D7" i="16" s="1"/>
  <c r="C8" i="16"/>
  <c r="D8" i="16" s="1"/>
  <c r="C9" i="16"/>
  <c r="D9" i="16"/>
  <c r="C10" i="16"/>
  <c r="D10" i="16" s="1"/>
  <c r="C11" i="16"/>
  <c r="D11" i="16"/>
  <c r="C12" i="16"/>
  <c r="D12" i="16" s="1"/>
  <c r="C13" i="16"/>
  <c r="D13" i="16" s="1"/>
  <c r="C14" i="16"/>
  <c r="D14" i="16"/>
  <c r="C15" i="16"/>
  <c r="D15" i="16"/>
  <c r="C16" i="16"/>
  <c r="D16" i="16"/>
  <c r="C17" i="16"/>
  <c r="D17" i="16"/>
  <c r="C9" i="4"/>
  <c r="C30" i="16"/>
  <c r="C29" i="16"/>
  <c r="C28" i="16"/>
  <c r="C27" i="16"/>
  <c r="C31" i="16" s="1"/>
  <c r="D24" i="13"/>
  <c r="D19" i="13"/>
  <c r="C9" i="13"/>
  <c r="D23" i="13" s="1"/>
  <c r="C7" i="13"/>
  <c r="C28" i="11"/>
  <c r="C16" i="11"/>
  <c r="C13" i="11"/>
  <c r="C11" i="11"/>
  <c r="C7" i="11"/>
  <c r="C5" i="11"/>
  <c r="E11" i="10" a="1"/>
  <c r="E11" i="10" s="1"/>
  <c r="C9" i="11" s="1"/>
  <c r="G10" i="8"/>
  <c r="F10" i="8"/>
  <c r="G9" i="8"/>
  <c r="F9" i="8" s="1"/>
  <c r="D10" i="6"/>
  <c r="C15" i="5"/>
  <c r="C25" i="11" s="1"/>
  <c r="D14" i="2"/>
  <c r="D15" i="2" s="1"/>
  <c r="D16" i="2" s="1"/>
  <c r="C10" i="11" s="1"/>
  <c r="C12" i="11" s="1"/>
  <c r="D11" i="2"/>
  <c r="D9" i="2"/>
  <c r="D7" i="2"/>
  <c r="C4" i="11" s="1"/>
  <c r="D5" i="2"/>
  <c r="C21" i="16" l="1"/>
  <c r="C30" i="11"/>
  <c r="C18" i="16"/>
  <c r="C14" i="11"/>
  <c r="D21" i="13"/>
  <c r="C3" i="11"/>
  <c r="C32" i="11" s="1"/>
  <c r="C41" i="13" s="1"/>
  <c r="D27" i="16"/>
  <c r="C6" i="11"/>
  <c r="C27" i="11" s="1"/>
  <c r="D22" i="13"/>
  <c r="D20" i="13"/>
  <c r="C23" i="13"/>
  <c r="E23" i="13" s="1"/>
  <c r="D18" i="13"/>
  <c r="C20" i="11" l="1"/>
  <c r="C26" i="11"/>
  <c r="C31" i="11"/>
  <c r="C23" i="16"/>
  <c r="C22" i="16"/>
  <c r="D18" i="16"/>
  <c r="C8" i="13"/>
  <c r="C8" i="11"/>
  <c r="C19" i="11" s="1"/>
  <c r="C43" i="13" s="1"/>
  <c r="C35" i="11"/>
  <c r="C24" i="11"/>
  <c r="C18" i="11"/>
  <c r="C23" i="11"/>
  <c r="C29" i="11"/>
  <c r="C40" i="13" l="1"/>
  <c r="C34" i="11"/>
  <c r="C33" i="11"/>
  <c r="C42" i="13" s="1"/>
  <c r="C18" i="13"/>
  <c r="E18" i="13" s="1"/>
  <c r="F18" i="13" s="1"/>
  <c r="G23" i="13" s="1"/>
  <c r="C20" i="13"/>
  <c r="E20" i="13" s="1"/>
  <c r="F20" i="13" s="1"/>
  <c r="C22" i="13"/>
  <c r="E22" i="13" s="1"/>
  <c r="F22" i="13" s="1"/>
  <c r="G22" i="13" s="1"/>
  <c r="C24" i="13"/>
  <c r="E24" i="13" s="1"/>
  <c r="F24" i="13" s="1"/>
  <c r="G24" i="13" s="1"/>
  <c r="C19" i="13"/>
  <c r="E19" i="13" s="1"/>
  <c r="F19" i="13" s="1"/>
  <c r="G19" i="13" s="1"/>
  <c r="C21" i="13"/>
  <c r="E21" i="13" s="1"/>
  <c r="F21" i="13" s="1"/>
  <c r="G21" i="13" s="1"/>
  <c r="G20" i="13" l="1"/>
</calcChain>
</file>

<file path=xl/sharedStrings.xml><?xml version="1.0" encoding="utf-8"?>
<sst xmlns="http://schemas.openxmlformats.org/spreadsheetml/2006/main" count="1001" uniqueCount="734">
  <si>
    <t>Master Loan Book</t>
  </si>
  <si>
    <t>Loan_ID</t>
  </si>
  <si>
    <t>Source</t>
  </si>
  <si>
    <t>Obligor_Name</t>
  </si>
  <si>
    <t>Industry</t>
  </si>
  <si>
    <t>Tranche</t>
  </si>
  <si>
    <t>Commitment_USD</t>
  </si>
  <si>
    <t>Current_Balance_USD</t>
  </si>
  <si>
    <t>Coupon_Type</t>
  </si>
  <si>
    <t>Rate</t>
  </si>
  <si>
    <t>Payment_Freq</t>
  </si>
  <si>
    <t>Last_Payment_Date</t>
  </si>
  <si>
    <t>Days_Delinquent</t>
  </si>
  <si>
    <t>Status</t>
  </si>
  <si>
    <t>Cash_Interest_Q4</t>
  </si>
  <si>
    <t>Accrued_PIK_Q4</t>
  </si>
  <si>
    <t>Notes / Adjustment</t>
  </si>
  <si>
    <t>WTM-L-0001</t>
  </si>
  <si>
    <t>Alpha</t>
  </si>
  <si>
    <t>Orion Studios Holdings LLC</t>
  </si>
  <si>
    <t>Film Production</t>
  </si>
  <si>
    <t>Term A</t>
  </si>
  <si>
    <t>Floating</t>
  </si>
  <si>
    <t>SOFR+650</t>
  </si>
  <si>
    <t>Quarterly</t>
  </si>
  <si>
    <t>Performing</t>
  </si>
  <si>
    <t>Bilateral</t>
  </si>
  <si>
    <t>WTM-L-0004</t>
  </si>
  <si>
    <t>Prismrock Live Events Inc</t>
  </si>
  <si>
    <t>Live Entertainment</t>
  </si>
  <si>
    <t>Term Loan</t>
  </si>
  <si>
    <t>Fixed</t>
  </si>
  <si>
    <t>WTM-L-0005</t>
  </si>
  <si>
    <t>Lumivue Streaming Corp</t>
  </si>
  <si>
    <t>Streaming</t>
  </si>
  <si>
    <t>Unitranche</t>
  </si>
  <si>
    <t>SOFR+700</t>
  </si>
  <si>
    <t>WTM-L-0007</t>
  </si>
  <si>
    <t>Ridgeline Post-Production LLC</t>
  </si>
  <si>
    <t>Post Production</t>
  </si>
  <si>
    <t>WTM-L-0008</t>
  </si>
  <si>
    <t>Frostgate Films Ltd</t>
  </si>
  <si>
    <t>SOFR+600</t>
  </si>
  <si>
    <t>GBP-denominated obligor; loan USD</t>
  </si>
  <si>
    <t>WTM-L-0012</t>
  </si>
  <si>
    <t>Greystone Bridge Loan</t>
  </si>
  <si>
    <t>Bridge</t>
  </si>
  <si>
    <t>SOFR+800</t>
  </si>
  <si>
    <t>Monthly</t>
  </si>
  <si>
    <t>Short-dated bridge</t>
  </si>
  <si>
    <t>WTM-L-0011/ BLA-0044</t>
  </si>
  <si>
    <t>Both</t>
  </si>
  <si>
    <t>Timberline Music Rights I LLC</t>
  </si>
  <si>
    <t>Music Publishing</t>
  </si>
  <si>
    <t>Corrected for $4.5M prepayment on 05-Oct-2025 per Notice 3. Alpha tape showed $35M (incorrect).</t>
  </si>
  <si>
    <t>WTM-L-0002</t>
  </si>
  <si>
    <t>Mezzanine</t>
  </si>
  <si>
    <t>Restructured</t>
  </si>
  <si>
    <t>Exchanged under RSA dated 15-Aug-2025 for new Senior Secured Notes of $11.875M. Accrued interest on missed Dec-25 payment reversed. Original balance $25M written down.</t>
  </si>
  <si>
    <t>WTM-L-0003</t>
  </si>
  <si>
    <t>Emberlight Records Group</t>
  </si>
  <si>
    <t>Senior Secured</t>
  </si>
  <si>
    <t>SOFR + 525</t>
  </si>
  <si>
    <t>Main loan. PIK toggle exists separately.</t>
  </si>
  <si>
    <t>WTM-L-0013-PIK</t>
  </si>
  <si>
    <t>PIK Toggle</t>
  </si>
  <si>
    <t>PIK</t>
  </si>
  <si>
    <t>Cumulative PIK $1.85M through Dec-25. December election $781,250 added to principal. Recognized as accrued income (not cash).</t>
  </si>
  <si>
    <t>WTM-L-0006</t>
  </si>
  <si>
    <t>Solara Content Partners</t>
  </si>
  <si>
    <t>Content Rights</t>
  </si>
  <si>
    <t>Revolver</t>
  </si>
  <si>
    <t>SOFR + 475</t>
  </si>
  <si>
    <t>Drawn balance taken from Revolver Utilization Report. Commitment $50M, Drawn $32M. Unused fee 50bps.</t>
  </si>
  <si>
    <t>BLA-0128</t>
  </si>
  <si>
    <t>Beta</t>
  </si>
  <si>
    <t>Orion Revolver (separate from Term A). Drawn $9.75M. Drawdown frozen post restructuring (Notice).</t>
  </si>
  <si>
    <t>WTM-L-0009</t>
  </si>
  <si>
    <t>Haruki Anime Studios KK</t>
  </si>
  <si>
    <t>Semi-Annual</t>
  </si>
  <si>
    <t>USD-linked loan with JPY revenue. FX forward is under-hedged after Nov-2025 notional reset (see Notice 4).</t>
  </si>
  <si>
    <t>BLA-0088</t>
  </si>
  <si>
    <t>Thornbury Publishing GBP LTD</t>
  </si>
  <si>
    <t>GBP-denominated loan. FX-hedged via forward.</t>
  </si>
  <si>
    <t>BLA-0119</t>
  </si>
  <si>
    <t>Equinox Live Ent GmbH</t>
  </si>
  <si>
    <t>EUR-denominated loan.</t>
  </si>
  <si>
    <t>BLA-0141</t>
  </si>
  <si>
    <t>Dawnridge Post-Prod Services</t>
  </si>
  <si>
    <t>Moved from Beta to Alpha on 01-Dec-2025. Actual origination date 20-Apr-2025.</t>
  </si>
  <si>
    <t>BLA-0171</t>
  </si>
  <si>
    <t>Second Lien</t>
  </si>
  <si>
    <t>Separate from Alpha Unitranche (WTM-L-0005).</t>
  </si>
  <si>
    <t>Summary Calculation</t>
  </si>
  <si>
    <t>Whitmore Fund II Loan Book As of 31 December 2025</t>
  </si>
  <si>
    <t>Total Funded Balance</t>
  </si>
  <si>
    <t>Cash Interest Received in Q4</t>
  </si>
  <si>
    <t>Accrued PIK Interest (Q4)</t>
  </si>
  <si>
    <t>Cumulative PIK (as of 31-Dec)</t>
  </si>
  <si>
    <t>Impact of Orion Restructuring</t>
  </si>
  <si>
    <t>Original Mezzanine Exposure</t>
  </si>
  <si>
    <t>New Carrying Value (47.5%)</t>
  </si>
  <si>
    <t>Write-down / Loss</t>
  </si>
  <si>
    <t>Coupon change on Senior Loan</t>
  </si>
  <si>
    <t>From SOFR+650 → SOFR+525</t>
  </si>
  <si>
    <t>Item</t>
  </si>
  <si>
    <t>Value</t>
  </si>
  <si>
    <t>Source / Notes</t>
  </si>
  <si>
    <t>Reference Entity</t>
  </si>
  <si>
    <t>CDS Confirmation</t>
  </si>
  <si>
    <t>Notional</t>
  </si>
  <si>
    <t>Fund Role</t>
  </si>
  <si>
    <t>Buyer of Protection (Fixed Rate Payer)</t>
  </si>
  <si>
    <t>Main Confirmation text</t>
  </si>
  <si>
    <t>Annual Premium</t>
  </si>
  <si>
    <t>100 bps</t>
  </si>
  <si>
    <t>Paid by Fund</t>
  </si>
  <si>
    <t>Upfront Payment Received</t>
  </si>
  <si>
    <t>Received 24-Apr-2024 (to be amortised)</t>
  </si>
  <si>
    <t>Credit Event</t>
  </si>
  <si>
    <t>Restructuring (10-Sep-2025)</t>
  </si>
  <si>
    <t>ISDA Determinations Committee</t>
  </si>
  <si>
    <t>Auction Final Price</t>
  </si>
  <si>
    <t>24-Sep-2025 auction</t>
  </si>
  <si>
    <t>Settlement Amount Received</t>
  </si>
  <si>
    <t>(100-42.25) × 25m</t>
  </si>
  <si>
    <t>Settlement Date</t>
  </si>
  <si>
    <t>Auction settlement</t>
  </si>
  <si>
    <t>Direction Assumption</t>
  </si>
  <si>
    <t>Fund receives the settlement</t>
  </si>
  <si>
    <t>Based on main Confirmation (priority over ops note)</t>
  </si>
  <si>
    <t>Trade_ID</t>
  </si>
  <si>
    <t>Currency_Pair</t>
  </si>
  <si>
    <t>Purpose</t>
  </si>
  <si>
    <t>Direction</t>
  </si>
  <si>
    <t>Contract_Rate</t>
  </si>
  <si>
    <t>Value_Date</t>
  </si>
  <si>
    <t>Realised_PnL_USD</t>
  </si>
  <si>
    <t>Notes</t>
  </si>
  <si>
    <t>WTM-FX-0044</t>
  </si>
  <si>
    <t>GBP/USD</t>
  </si>
  <si>
    <t>Hedge Thornbury loan (BLA-0088)</t>
  </si>
  <si>
    <t>GBP 22,400,000</t>
  </si>
  <si>
    <t>Buy GBP / Sell USD</t>
  </si>
  <si>
    <t>Settled</t>
  </si>
  <si>
    <t>Large loss due to GBP depreciation. Rolled at off-market rate as part of package.</t>
  </si>
  <si>
    <t>WTM-FX-0045</t>
  </si>
  <si>
    <t>USD/JPY</t>
  </si>
  <si>
    <t>Hedge Haruki Anime loan</t>
  </si>
  <si>
    <t>JPY 2,400,000,000</t>
  </si>
  <si>
    <t>Sell JPY / Buy USD</t>
  </si>
  <si>
    <t>Under-hedged after Nov-2025 loan notional reset. Loss on settlement.</t>
  </si>
  <si>
    <t>WTM-FX-0046</t>
  </si>
  <si>
    <t>EUR/USD</t>
  </si>
  <si>
    <t>Unclear / new trade</t>
  </si>
  <si>
    <t>EUR 4,750,000</t>
  </si>
  <si>
    <t>Buy EUR / Sell USD</t>
  </si>
  <si>
    <t>Open</t>
  </si>
  <si>
    <t>Purpose not confirmed. Outside normal loan-hedging program.</t>
  </si>
  <si>
    <t>RESIDUAL / ANALYTICAL ADJUSTMENTS</t>
  </si>
  <si>
    <t>JPY Under-hedge Residual Exposure (USD)</t>
  </si>
  <si>
    <t>Input (Decision D-07): loan notional reset Nov-2025; forward not updated. Source rank 2.</t>
  </si>
  <si>
    <t>Linked Haruki Loan Balance (USD)</t>
  </si>
  <si>
    <t>From Loan_Book obligor balance</t>
  </si>
  <si>
    <t>Notional Amount</t>
  </si>
  <si>
    <t>IRS Confirmation</t>
  </si>
  <si>
    <t>Trade Date</t>
  </si>
  <si>
    <t>Effective Date</t>
  </si>
  <si>
    <t>Termination Date</t>
  </si>
  <si>
    <t>Fixed Rate paid by Fund</t>
  </si>
  <si>
    <t>Floating Rate received by Fund</t>
  </si>
  <si>
    <t>Originally 3M LIBOR, now Term SOFR + 26.161 bps</t>
  </si>
  <si>
    <t>ISDA Fallback + sticky note</t>
  </si>
  <si>
    <t>Facility Interest Rate (what Fund actually pays)</t>
  </si>
  <si>
    <t>Term SOFR + 11.448 bps + 2.75%</t>
  </si>
  <si>
    <t>Greystone Facility Agreement</t>
  </si>
  <si>
    <t>Basis Mismatch (Spread Difference)</t>
  </si>
  <si>
    <t>bps | Source: 26.161 – 11.448 (ISDA Fallback vs Facility CSA)</t>
  </si>
  <si>
    <t>Mark-to-Market (31-Dec-2025)</t>
  </si>
  <si>
    <t>Fund is out-of-the-money</t>
  </si>
  <si>
    <t>Hedge Design Intent</t>
  </si>
  <si>
    <t>Convert floating facility cost into synthetic fixed rate</t>
  </si>
  <si>
    <t>Deal memo in confirmation</t>
  </si>
  <si>
    <t>Hedge Accounting</t>
  </si>
  <si>
    <t>Not applied</t>
  </si>
  <si>
    <t>Explicitly stated</t>
  </si>
  <si>
    <t>Current Effectiveness</t>
  </si>
  <si>
    <t>Imperfect: persistent 14.713 bps basis risk remains</t>
  </si>
  <si>
    <t>Analysis</t>
  </si>
  <si>
    <t>Annual Cost of Basis Mismatch (approx)</t>
  </si>
  <si>
    <t>Formula: Notional × Basis bps / 10,000</t>
  </si>
  <si>
    <t>Asset_Class</t>
  </si>
  <si>
    <t>Trade_Ref</t>
  </si>
  <si>
    <t>Fair_Value_to_Fund_USD</t>
  </si>
  <si>
    <t>Interest Rate Swap</t>
  </si>
  <si>
    <t>GTB-IRS-2024-0342</t>
  </si>
  <si>
    <t>Matches previous IRS sheet</t>
  </si>
  <si>
    <t>CDS - Orion</t>
  </si>
  <si>
    <t>ARI-WTM-CDS-0011</t>
  </si>
  <si>
    <t>Closed</t>
  </si>
  <si>
    <t>Settlement $14,437,500 direction assumed as receipt (protection buyer)</t>
  </si>
  <si>
    <t>CDS - Lumivue</t>
  </si>
  <si>
    <t>ARI-WTM-CDS-0018</t>
  </si>
  <si>
    <t>Protection buyer</t>
  </si>
  <si>
    <t>CDS - Timberline Ent</t>
  </si>
  <si>
    <t>ARI-WTM-CDS-0022</t>
  </si>
  <si>
    <t>Protection seller (income trade)</t>
  </si>
  <si>
    <t>FX Forward EUR</t>
  </si>
  <si>
    <t>Unrealised loss</t>
  </si>
  <si>
    <t>Listed Options (Net)</t>
  </si>
  <si>
    <t>Various listed (ORNX, LMVU, EMBL, PRMK)</t>
  </si>
  <si>
    <t>Net mark-to-market of all listed options from Prime Broker report</t>
  </si>
  <si>
    <t>OTC Options (Net)</t>
  </si>
  <si>
    <t>FRGF-PUT-JUN26 + SLRA-CALL-JAN27</t>
  </si>
  <si>
    <t>Frostgate converted from GBp to USD; Solara is model-based (Level 3)</t>
  </si>
  <si>
    <t>Total Derivatives MTM</t>
  </si>
  <si>
    <t>NA</t>
  </si>
  <si>
    <t>Sum of above</t>
  </si>
  <si>
    <t>Net Collateral Posted</t>
  </si>
  <si>
    <t>Fund has posted more than received</t>
  </si>
  <si>
    <t>Category</t>
  </si>
  <si>
    <t>Description</t>
  </si>
  <si>
    <t>Amount_USD</t>
  </si>
  <si>
    <t>Open Positions - Net Mark-to-Market</t>
  </si>
  <si>
    <t>All open options combined</t>
  </si>
  <si>
    <t>After converting Frostgate to USD</t>
  </si>
  <si>
    <t>Realised P&amp;L in Q4</t>
  </si>
  <si>
    <t>Closed and expired options</t>
  </si>
  <si>
    <t>+66,000 –17,500 –38,000</t>
  </si>
  <si>
    <t>Short Option Liability</t>
  </si>
  <si>
    <t>Written calls and puts (Orion, Emberlight, Lumivue)</t>
  </si>
  <si>
    <t>Potential future obligation</t>
  </si>
  <si>
    <t>Frostgate OTC Put (corrected)</t>
  </si>
  <si>
    <t>Long put on Frostgate</t>
  </si>
  <si>
    <t>Converted from GBp at 1.2585</t>
  </si>
  <si>
    <t>Solara OTC Call</t>
  </si>
  <si>
    <t>Long call on private company</t>
  </si>
  <si>
    <t>Model-based valuation (Level 3)</t>
  </si>
  <si>
    <t>Lease_ID</t>
  </si>
  <si>
    <t>Asset_Category</t>
  </si>
  <si>
    <t>Payment_Frequency</t>
  </si>
  <si>
    <t>Payment_Amount_USD</t>
  </si>
  <si>
    <t>Annual_Cost_USD</t>
  </si>
  <si>
    <t>Treatment</t>
  </si>
  <si>
    <t>LEASE-NYC-M</t>
  </si>
  <si>
    <t>Office</t>
  </si>
  <si>
    <t>NYC Headquarters</t>
  </si>
  <si>
    <t>Operating Expense</t>
  </si>
  <si>
    <t>Fund HQ</t>
  </si>
  <si>
    <t>LEASE-LA-M</t>
  </si>
  <si>
    <t>LA Office</t>
  </si>
  <si>
    <t>LEASE-CMP-M</t>
  </si>
  <si>
    <t>IT Infrastructure</t>
  </si>
  <si>
    <t>Managed Cloud (Northwind)</t>
  </si>
  <si>
    <t>LEASE-CML-Q</t>
  </si>
  <si>
    <t>Content Library</t>
  </si>
  <si>
    <t>Longwood Music Catalog</t>
  </si>
  <si>
    <t>Investment Cost (Sleeve)</t>
  </si>
  <si>
    <t>Portfolio view chosen: cost to structured credit sleeve</t>
  </si>
  <si>
    <t>LEASE-CML-Q2</t>
  </si>
  <si>
    <t>Greystone Bridge Film Library</t>
  </si>
  <si>
    <t>Agreed opex treatment</t>
  </si>
  <si>
    <t>LEASE-JPY-Q</t>
  </si>
  <si>
    <t>Nishimura Anime Titles (JPY)</t>
  </si>
  <si>
    <t>FX unhedged: amount at Q4 spot</t>
  </si>
  <si>
    <t>Total Annual Lease Cost</t>
  </si>
  <si>
    <t>All Categories</t>
  </si>
  <si>
    <t>All Leases</t>
  </si>
  <si>
    <t>Annual</t>
  </si>
  <si>
    <t>Mixed</t>
  </si>
  <si>
    <t>Sum of all leases above</t>
  </si>
  <si>
    <t>Of which charged to Sleeve</t>
  </si>
  <si>
    <t>Longwood Music Catalog only</t>
  </si>
  <si>
    <t>Only Longwood under Portfolio view</t>
  </si>
  <si>
    <t>Sub_Category</t>
  </si>
  <si>
    <t>Linked_To</t>
  </si>
  <si>
    <t>Loan Interest Received</t>
  </si>
  <si>
    <t>Performing Loans</t>
  </si>
  <si>
    <t>Inflow</t>
  </si>
  <si>
    <t>Loan Book</t>
  </si>
  <si>
    <t>Sum of all cash coupons received in Q4 (excl. PIK &amp; missed)</t>
  </si>
  <si>
    <t>Bridge Loan</t>
  </si>
  <si>
    <t>Loan Interest Not Received</t>
  </si>
  <si>
    <t>Orion Mezzanine</t>
  </si>
  <si>
    <t>None</t>
  </si>
  <si>
    <t>Missed Q4 coupon: $640,625 accrued but not paid</t>
  </si>
  <si>
    <t>Debt Cost</t>
  </si>
  <si>
    <t>Greystone Revolver Interest</t>
  </si>
  <si>
    <t>Outflow</t>
  </si>
  <si>
    <t>Facility</t>
  </si>
  <si>
    <t>Greystone Commitment Fee</t>
  </si>
  <si>
    <t>Ironbridge Term Loan Interest</t>
  </si>
  <si>
    <t>Ironbridge</t>
  </si>
  <si>
    <t>Derivatives</t>
  </si>
  <si>
    <t>IRS Net Payments (Q3)</t>
  </si>
  <si>
    <t>IRS</t>
  </si>
  <si>
    <t>Net of the two conflicting entries (needs cleaning)</t>
  </si>
  <si>
    <t>CDS Premiums (Net)</t>
  </si>
  <si>
    <t>CDS</t>
  </si>
  <si>
    <t>Premiums paid minus premiums received</t>
  </si>
  <si>
    <t>Orion CDS Settlement</t>
  </si>
  <si>
    <t>Orion CDS</t>
  </si>
  <si>
    <t>Major receipt – supports protection buyer assumption</t>
  </si>
  <si>
    <t>FX Forward Rolls &amp; Settlements</t>
  </si>
  <si>
    <t>FX Forwards</t>
  </si>
  <si>
    <t>Net cash on GBP roll</t>
  </si>
  <si>
    <t>Options Premiums &amp; Exercise</t>
  </si>
  <si>
    <t>Options</t>
  </si>
  <si>
    <t>Premium received $88k minus exercise payment $1.35m</t>
  </si>
  <si>
    <t>Leases</t>
  </si>
  <si>
    <t>Content Library (Longwood)</t>
  </si>
  <si>
    <t>Leased Assets</t>
  </si>
  <si>
    <t>Office (NYC + LA)</t>
  </si>
  <si>
    <t>IT / Cloud (Northwind)</t>
  </si>
  <si>
    <t>LP Flows</t>
  </si>
  <si>
    <t>Capital Call Received</t>
  </si>
  <si>
    <t>LPs</t>
  </si>
  <si>
    <t>Distribution Paid</t>
  </si>
  <si>
    <t>Capital Call Refund</t>
  </si>
  <si>
    <t>Over-call refund</t>
  </si>
  <si>
    <t>Fees &amp; Admin</t>
  </si>
  <si>
    <t>Management Fee to GP</t>
  </si>
  <si>
    <t>GP</t>
  </si>
  <si>
    <t>Q3 + Q4</t>
  </si>
  <si>
    <t>Audit + Administrator</t>
  </si>
  <si>
    <t>Admin</t>
  </si>
  <si>
    <t>Other</t>
  </si>
  <si>
    <t>Bank Interest Income</t>
  </si>
  <si>
    <t>Cash</t>
  </si>
  <si>
    <t>Royalties Received</t>
  </si>
  <si>
    <t>Content</t>
  </si>
  <si>
    <t>Streaming + Sync fees</t>
  </si>
  <si>
    <t>Metric</t>
  </si>
  <si>
    <t>Cash_Amount_USD</t>
  </si>
  <si>
    <t>Recognized_Amount_USD</t>
  </si>
  <si>
    <t>Gap_USD</t>
  </si>
  <si>
    <t>Explanation</t>
  </si>
  <si>
    <t>Loan Interest Income</t>
  </si>
  <si>
    <t>Cash coupons received vs Cash + PIK + missed Orion coupon</t>
  </si>
  <si>
    <t>Orion Mezzanine Write-down</t>
  </si>
  <si>
    <t>Write-down is recognized but no cash moved</t>
  </si>
  <si>
    <t>Both cash and recognized (we treated it as gain)</t>
  </si>
  <si>
    <t>IRS Fair Value Change</t>
  </si>
  <si>
    <t>Only net cash paid vs full MTM change</t>
  </si>
  <si>
    <t>FX Forwards Realised</t>
  </si>
  <si>
    <t>Only roll cash vs full realised losses we calculated earlier</t>
  </si>
  <si>
    <t>Options (Premiums + Exercise)</t>
  </si>
  <si>
    <t>Mostly matched</t>
  </si>
  <si>
    <t>Leases Paid</t>
  </si>
  <si>
    <t>Cash = expense</t>
  </si>
  <si>
    <t>Debt Interest Paid</t>
  </si>
  <si>
    <t>Net Impact on Timing Gap</t>
  </si>
  <si>
    <t>Sum of absolute gaps (rough total recognition-timing difference)</t>
  </si>
  <si>
    <t>Unit</t>
  </si>
  <si>
    <t>Formula / Source</t>
  </si>
  <si>
    <t>Commentary</t>
  </si>
  <si>
    <t>USD</t>
  </si>
  <si>
    <t>Loan_Book_Summary</t>
  </si>
  <si>
    <t>Current outstanding loans after all adjustments</t>
  </si>
  <si>
    <t>Cash Interest Received (Q4)</t>
  </si>
  <si>
    <t>Actual cash coupons received</t>
  </si>
  <si>
    <t>Emberlight PIK – recognized but not cash</t>
  </si>
  <si>
    <t>Total Loan Income (Q4)</t>
  </si>
  <si>
    <t>Calculated</t>
  </si>
  <si>
    <t>Cash + PIK</t>
  </si>
  <si>
    <t>Cost of Debt (Q4)</t>
  </si>
  <si>
    <t>Cash_Ledger_Summary</t>
  </si>
  <si>
    <t>Greystone interest + commitment fee + Ironbridge interest</t>
  </si>
  <si>
    <t>Net Income before other items</t>
  </si>
  <si>
    <t>Loan income minus cost of debt</t>
  </si>
  <si>
    <t>Recognition Timing Gap (Absolute)</t>
  </si>
  <si>
    <t>Cash_vs_Recognised</t>
  </si>
  <si>
    <t>Key risk metric: cash vs accounting difference</t>
  </si>
  <si>
    <t>Loss on restructuring</t>
  </si>
  <si>
    <t>Orion CDS Settlement Gain</t>
  </si>
  <si>
    <t>Derivatives_CDS</t>
  </si>
  <si>
    <t>Offsetting gain from protection</t>
  </si>
  <si>
    <t>Net Orion Impact</t>
  </si>
  <si>
    <t>CDS recovery minus write-down</t>
  </si>
  <si>
    <t>IRS Mark-to-Market</t>
  </si>
  <si>
    <t>Derivatives_IRS</t>
  </si>
  <si>
    <t>Current fair value of the hedge</t>
  </si>
  <si>
    <t xml:space="preserve">   </t>
  </si>
  <si>
    <t>IRS Basis Mismatch (Annual Cost)</t>
  </si>
  <si>
    <t>Ongoing cost of imperfect hedge</t>
  </si>
  <si>
    <t>Hedge Effectiveness Assessment</t>
  </si>
  <si>
    <t>Imperfect</t>
  </si>
  <si>
    <t>Text</t>
  </si>
  <si>
    <t>14.713 bps permanent basis risk remains</t>
  </si>
  <si>
    <t>Longwood Lease Cost charged to Sleeve (Annual)</t>
  </si>
  <si>
    <t>Leased_Assets_Summary</t>
  </si>
  <si>
    <t>Portfolio view treatment</t>
  </si>
  <si>
    <t>Net Yield before Leverage (Q4 annualised)</t>
  </si>
  <si>
    <t>(Total Loan Income / Funded Balance) × 4</t>
  </si>
  <si>
    <t>Net Yield after Debt Cost (Q4 annualised)</t>
  </si>
  <si>
    <t>(Net Income before other items / Funded Balance) × 4</t>
  </si>
  <si>
    <t>Recognition Timing Gap as % of Funded Balance</t>
  </si>
  <si>
    <t>Timing gap relative to book size</t>
  </si>
  <si>
    <t>Cash Conversion Ratio (Q4)</t>
  </si>
  <si>
    <t>Ratio</t>
  </si>
  <si>
    <t>Cash Interest / Total Loan Income</t>
  </si>
  <si>
    <t>Share of recognised loan income that is cash this quarter; complement of PIK drag</t>
  </si>
  <si>
    <t>PIK Share of Loan Income (Q4)</t>
  </si>
  <si>
    <t>Accrued PIK / Total Loan Income</t>
  </si>
  <si>
    <t>~7% of Q4 income is non-cash (Emberlight PIK election)</t>
  </si>
  <si>
    <t>Derivatives_IRS annual basis cost</t>
  </si>
  <si>
    <t>Permanent 14.713 bps mismatch × IRS notional</t>
  </si>
  <si>
    <t>bps</t>
  </si>
  <si>
    <t>Annual basis $ / Funded Balance × 10,000</t>
  </si>
  <si>
    <t>Basis leakage expressed relative to book size</t>
  </si>
  <si>
    <t>Days</t>
  </si>
  <si>
    <t>Annual basis $ / (Q4 loan income per day)</t>
  </si>
  <si>
    <t>How many days of Q4 loan income the annual basis drag consumes</t>
  </si>
  <si>
    <t>JPY Residual FX Exposure ($)</t>
  </si>
  <si>
    <t>Derivatives_FX_Forwards residual input</t>
  </si>
  <si>
    <t>Under-hedged residual after Nov-2025 notional reset (Decision D-07)</t>
  </si>
  <si>
    <t>JPY residual $ / Funded Balance × 10,000</t>
  </si>
  <si>
    <t>Residual FX exposure relative to book</t>
  </si>
  <si>
    <t>Combined Hedge Residual Cost (Annual $ proxy)</t>
  </si>
  <si>
    <t>IRS annual basis + JPY residual (stock)</t>
  </si>
  <si>
    <t>Note: mixes flow (annual basis) and stock (FX residual); useful as residual-risk headline</t>
  </si>
  <si>
    <t>Combined residual $ / Funded × 10,000</t>
  </si>
  <si>
    <t>Headline residual-risk intensity</t>
  </si>
  <si>
    <t>Break-even Asset Yield (ann.) for Zero Levered Return</t>
  </si>
  <si>
    <t>Yield</t>
  </si>
  <si>
    <t>|Cost of Debt| / Funded × 4</t>
  </si>
  <si>
    <t>Asset yield needed so loan income exactly covers debt cost (levered return = 0)</t>
  </si>
  <si>
    <t>Yield pts</t>
  </si>
  <si>
    <t>Pre-leverage yield − break-even yield</t>
  </si>
  <si>
    <t>Leverage Drag (ann.)</t>
  </si>
  <si>
    <t>How much leverage currently costs in yield terms</t>
  </si>
  <si>
    <t>Quarterly Income Shortfall vs Debt Cost ($)</t>
  </si>
  <si>
    <t>Cash+PIK income does not cover debt cost this quarter by this amount</t>
  </si>
  <si>
    <t>Decision Quality &amp; Assumption Log: Whitmore Fund II</t>
  </si>
  <si>
    <t>Total Material Decisions Made: 8</t>
  </si>
  <si>
    <t>High Confidence (8–10): 6</t>
  </si>
  <si>
    <t>Medium Confidence (5–7): 2</t>
  </si>
  <si>
    <t>Open Items Requiring Action: 2</t>
  </si>
  <si>
    <t>Decision_ID</t>
  </si>
  <si>
    <t>Decision_Area</t>
  </si>
  <si>
    <t>Decision_Made</t>
  </si>
  <si>
    <t>Alternative_Considered</t>
  </si>
  <si>
    <t>Rationale</t>
  </si>
  <si>
    <t>Confidence_Level</t>
  </si>
  <si>
    <t>Confidence_Score</t>
  </si>
  <si>
    <t>Potential_Impact_if_Wrong</t>
  </si>
  <si>
    <t>Impact_Amount_USD</t>
  </si>
  <si>
    <t>D-01</t>
  </si>
  <si>
    <t>Orion CDS Direction</t>
  </si>
  <si>
    <t>Fund is Protection Buyer (receives settlement)</t>
  </si>
  <si>
    <t>Fund is Protection Seller (pays settlement)</t>
  </si>
  <si>
    <t>Primary Confirmation language takes priority over ops notes and reciprocal confirm as per case guidance</t>
  </si>
  <si>
    <t>High</t>
  </si>
  <si>
    <t>Reverses the $14.44m gain into a loss</t>
  </si>
  <si>
    <t>D-02</t>
  </si>
  <si>
    <t>Orion Mezzanine Valuation</t>
  </si>
  <si>
    <t>Carried at 47.5% of face ($11.875m)</t>
  </si>
  <si>
    <t>Use Auction Final Price 42.25% or keep at Par</t>
  </si>
  <si>
    <t>Follows the Restructuring Support Agreement terms; consistent with CDS recovery logic</t>
  </si>
  <si>
    <t>Changes write-down by $1.3m–$13.1m</t>
  </si>
  <si>
    <t>1312500 to 13125000</t>
  </si>
  <si>
    <t>D-03</t>
  </si>
  <si>
    <t>Longwood Content Library Lease</t>
  </si>
  <si>
    <t>Treated as Investment Cost to the Sleeve</t>
  </si>
  <si>
    <t>Treated as Operating Expense (Fund Accounting view)</t>
  </si>
  <si>
    <t>Consistent with LAIM capital-light strategy and Portfolio Manager view; royalties sit in entertainment sleeve</t>
  </si>
  <si>
    <t>Medium-High</t>
  </si>
  <si>
    <t>Changes sleeve cost by $1.8m per year and affects Net Yield</t>
  </si>
  <si>
    <t>D-04</t>
  </si>
  <si>
    <t>Interest Rate Swap Effectiveness</t>
  </si>
  <si>
    <t>Partially Effective (Imperfect)</t>
  </si>
  <si>
    <t>Fully Effective</t>
  </si>
  <si>
    <t>Permanent 14.713 bps basis mismatch remains after LIBOR transition</t>
  </si>
  <si>
    <t>Ongoing annual cost of ~$368k continues</t>
  </si>
  <si>
    <t>Open - Monitoring</t>
  </si>
  <si>
    <t>D-05</t>
  </si>
  <si>
    <t>Emberlight PIK Treatment</t>
  </si>
  <si>
    <t>Recognized as Accrued Income + added to Principal</t>
  </si>
  <si>
    <t>Ignore or treat as contingent</t>
  </si>
  <si>
    <t>Loan agreement allows PIK; Notice confirms election; accrual accounting requires recognition</t>
  </si>
  <si>
    <t>Understates income and principal by $1.85m</t>
  </si>
  <si>
    <t>D-06</t>
  </si>
  <si>
    <t>Timberline Prepayment</t>
  </si>
  <si>
    <t>Balance reduced to $30.5m</t>
  </si>
  <si>
    <t>Keep Alpha tape balance of $35m</t>
  </si>
  <si>
    <t>Corporate Action Notice 3 explicitly corrects the tape</t>
  </si>
  <si>
    <t>Overstates funded balance by $4.5m</t>
  </si>
  <si>
    <t>D-07</t>
  </si>
  <si>
    <t>JPY Forward Notional</t>
  </si>
  <si>
    <t>Flagged as Under-hedged (no adjustment to loan balance)</t>
  </si>
  <si>
    <t>Force-update forward notional or adjust loan USD balance</t>
  </si>
  <si>
    <t>Loan agreement reset is real; forward was not updated; we disclose the residual risk</t>
  </si>
  <si>
    <t>Medium</t>
  </si>
  <si>
    <t>Residual FX exposure of ~$2.15m remains</t>
  </si>
  <si>
    <t>Open - Action Required</t>
  </si>
  <si>
    <t>D-08</t>
  </si>
  <si>
    <t>Duplicate Loan Handling</t>
  </si>
  <si>
    <t>Single count only (Alpha preferred post-transfer)</t>
  </si>
  <si>
    <t>Double count or keep both</t>
  </si>
  <si>
    <t>Case explicitly warns against double counting; transfer dates respected</t>
  </si>
  <si>
    <t>Would inflate book by tens of millions</t>
  </si>
  <si>
    <t>Various</t>
  </si>
  <si>
    <t>SENSITIVITY &amp; SCENARIO ANALYSIS – Whitmore Fund II</t>
  </si>
  <si>
    <t>BASE CASE INPUTS (change these to run scenarios)</t>
  </si>
  <si>
    <t>Parameter</t>
  </si>
  <si>
    <t>Notes / Driver</t>
  </si>
  <si>
    <t>Funded_Balance</t>
  </si>
  <si>
    <t>Linked → Loan_Book_Summary Total Funded Balance</t>
  </si>
  <si>
    <t>Loan_Income_Q4</t>
  </si>
  <si>
    <t>Linked → Performance_Metrics Total Loan Income (Q4)</t>
  </si>
  <si>
    <t>Cost_of_Debt_Q4</t>
  </si>
  <si>
    <t>Linked → |Performance_Metrics Cost of Debt (Q4)|</t>
  </si>
  <si>
    <t>Floating_Share_of_Book</t>
  </si>
  <si>
    <t>%</t>
  </si>
  <si>
    <t>Approx % of loans that are floating</t>
  </si>
  <si>
    <t>Facility_Sensitivity</t>
  </si>
  <si>
    <t>x</t>
  </si>
  <si>
    <t>How much facility cost moves with SOFR (1.0 = full)</t>
  </si>
  <si>
    <t>PIK_Shock_Amount</t>
  </si>
  <si>
    <t>Assumed extra income that becomes PIK</t>
  </si>
  <si>
    <t>Utilization_Uplift_Cost</t>
  </si>
  <si>
    <t>Extra interest if utilization rises to ~80%</t>
  </si>
  <si>
    <t>SCENARIO RESULTS (driven by inputs above)</t>
  </si>
  <si>
    <t>Scenario</t>
  </si>
  <si>
    <t>Loan Income</t>
  </si>
  <si>
    <t>Cost of Debt</t>
  </si>
  <si>
    <t>Net Income</t>
  </si>
  <si>
    <t>Net Yield after Debt (ann.)</t>
  </si>
  <si>
    <t>Change vs Base</t>
  </si>
  <si>
    <t>Key Assumption</t>
  </si>
  <si>
    <t>Base Case</t>
  </si>
  <si>
    <t>Current position</t>
  </si>
  <si>
    <t>SOFR +100 bps</t>
  </si>
  <si>
    <t>Floating loans + facility cost both rise 100 bps</t>
  </si>
  <si>
    <t>SOFR -50 bps</t>
  </si>
  <si>
    <t>Floating rates fall 50 bps</t>
  </si>
  <si>
    <t>2 Additional Loans go PIK</t>
  </si>
  <si>
    <t>Extra $1.2m of income converts from cash to PIK</t>
  </si>
  <si>
    <t>Greystone Utilization → 80%</t>
  </si>
  <si>
    <t>Higher drawn balance increases interest cost</t>
  </si>
  <si>
    <t>Break-even Yield Required</t>
  </si>
  <si>
    <t>Longwood Lease moved to Opex</t>
  </si>
  <si>
    <t>Only allocation changes – income &amp; debt cost unchanged</t>
  </si>
  <si>
    <t>KEY INSIGHTS</t>
  </si>
  <si>
    <t>1. Asset-side yield (9.42%) is healthy; the problem is the current cost of leverage.</t>
  </si>
  <si>
    <t>2. The sleeve remains negatively geared after debt cost in most realistic scenarios.</t>
  </si>
  <si>
    <t>3. Largest downside risks: rising SOFR and more loans electing PIK.</t>
  </si>
  <si>
    <t>s</t>
  </si>
  <si>
    <t>4. Break-even analysis shows the loan book still has a good cushion before it fails to cover debt cost.</t>
  </si>
  <si>
    <t>5. Yellow cells above are the drivers – change them and all scenario results update automatically.</t>
  </si>
  <si>
    <t>HOW TO USE WITH EXCEL SCENARIO MANAGER</t>
  </si>
  <si>
    <t>1. Select the yellow input cells (B6:B12)</t>
  </si>
  <si>
    <t>2. Data → What-If Analysis → Scenario Manager → Add</t>
  </si>
  <si>
    <t>3. Create named scenarios (Base, SOFR+100, PIK Shock, etc.) by changing the yellow cells</t>
  </si>
  <si>
    <t>4. The results table (rows 17-23) will recalculate for each scenario</t>
  </si>
  <si>
    <t>BREAK-EVEN YIELD GAUGE (linked to Performance_Metrics)</t>
  </si>
  <si>
    <t>Current Pre-Leverage Yield (ann.)</t>
  </si>
  <si>
    <t>Break-even Asset Yield (ann.)</t>
  </si>
  <si>
    <t>Cushion (Pre-Lev − Break-even)</t>
  </si>
  <si>
    <t>Current Post-Leverage Yield (ann.)</t>
  </si>
  <si>
    <t>Interpretation</t>
  </si>
  <si>
    <t>Positive cushion means asset book still earns above the yield needed to cover debt cost. Negative post-lev yield means leverage is currently expensive relative to asset income this quarter.</t>
  </si>
  <si>
    <t>Stakeholder Views &amp; Information Needs Whitmore Structured Credit Opportunities Fund II As of 31 December 2025</t>
  </si>
  <si>
    <t>1. Portfolio Manager View</t>
  </si>
  <si>
    <t>Comment</t>
  </si>
  <si>
    <t>Net Yield before Leverage</t>
  </si>
  <si>
    <t>Healthy asset-level return</t>
  </si>
  <si>
    <t>Net Yield after Debt Cost</t>
  </si>
  <si>
    <t>Currently negative after leverage</t>
  </si>
  <si>
    <t>CDS recovery exceeded write-down</t>
  </si>
  <si>
    <t>IRS Hedge Status</t>
  </si>
  <si>
    <t>14.7 bps ongoing basis cost</t>
  </si>
  <si>
    <t>2. Fund Accounting / Finance View</t>
  </si>
  <si>
    <t>Recognition Timing Gap</t>
  </si>
  <si>
    <t>Material difference</t>
  </si>
  <si>
    <t>Timing Gap as % of Book</t>
  </si>
  <si>
    <t>Elevated</t>
  </si>
  <si>
    <t>PIK Interest (Q4)</t>
  </si>
  <si>
    <t>Recognized but non-cash</t>
  </si>
  <si>
    <t>Orion Write-down</t>
  </si>
  <si>
    <t>Fully recognized</t>
  </si>
  <si>
    <t>Longwood Lease Treatment</t>
  </si>
  <si>
    <t>Portfolio view applied</t>
  </si>
  <si>
    <t>3. Risk Manager View</t>
  </si>
  <si>
    <t>Largest Counterparty</t>
  </si>
  <si>
    <t>Greystone</t>
  </si>
  <si>
    <t>Facility + IRS</t>
  </si>
  <si>
    <t>IRS Hedge Effectiveness</t>
  </si>
  <si>
    <t>Partially Effective</t>
  </si>
  <si>
    <t>Permanent basis mismatch</t>
  </si>
  <si>
    <t>Annual Basis Cost</t>
  </si>
  <si>
    <t>Ongoing leakage</t>
  </si>
  <si>
    <t>JPY Under-hedge</t>
  </si>
  <si>
    <t>Action required</t>
  </si>
  <si>
    <t>Key risk metric</t>
  </si>
  <si>
    <t>4. Investment Operations View</t>
  </si>
  <si>
    <t>Number</t>
  </si>
  <si>
    <t>Material Decisions Made</t>
  </si>
  <si>
    <t>Fully documented</t>
  </si>
  <si>
    <t>High Confidence Decisions</t>
  </si>
  <si>
    <t>Strong audit trail</t>
  </si>
  <si>
    <t>Open Action Items</t>
  </si>
  <si>
    <t>JPY hedge + IRS basis</t>
  </si>
  <si>
    <t>Major Overrides Applied</t>
  </si>
  <si>
    <t>Timberline, Orion Mezz, PIK, CDS direction</t>
  </si>
  <si>
    <t>Source Hierarchy Used</t>
  </si>
  <si>
    <t>Formal docs &gt; Notices &gt; Tapes &gt; Notes</t>
  </si>
  <si>
    <t>Case rule followed</t>
  </si>
  <si>
    <t>5. Investment Committee / Senior Management View</t>
  </si>
  <si>
    <t>Area</t>
  </si>
  <si>
    <t>One-line Summary</t>
  </si>
  <si>
    <t>Asset Yield</t>
  </si>
  <si>
    <t>Strong</t>
  </si>
  <si>
    <t>9.42% before leverage</t>
  </si>
  <si>
    <t>Levered Performance</t>
  </si>
  <si>
    <t>Weak</t>
  </si>
  <si>
    <t>-2.49% after debt cost</t>
  </si>
  <si>
    <t>Hedge Quality</t>
  </si>
  <si>
    <t>Partial</t>
  </si>
  <si>
    <t>Basis leakage continues</t>
  </si>
  <si>
    <t>Concentration</t>
  </si>
  <si>
    <t>Heavy Greystone exposure</t>
  </si>
  <si>
    <t>Accounting Quality</t>
  </si>
  <si>
    <t>Acceptable</t>
  </si>
  <si>
    <t>Large but explained timing gap</t>
  </si>
  <si>
    <t>Overall Assessment</t>
  </si>
  <si>
    <t>Good assets, expensive leverage, residual risks</t>
  </si>
  <si>
    <t>6. LP / Investor View</t>
  </si>
  <si>
    <t>Net Yield after Debt</t>
  </si>
  <si>
    <t>Current levered return</t>
  </si>
  <si>
    <t>Capital Called (Q4)</t>
  </si>
  <si>
    <t>Fresh capital in</t>
  </si>
  <si>
    <t>Distributions Paid (Q4)</t>
  </si>
  <si>
    <t>Cash returned</t>
  </si>
  <si>
    <t>Net Capital Inflow</t>
  </si>
  <si>
    <t>More capital called than distributed</t>
  </si>
  <si>
    <t>Major Risk Flag</t>
  </si>
  <si>
    <t>Negative levered yield + timing gap</t>
  </si>
  <si>
    <t>Fully disclosed</t>
  </si>
  <si>
    <t>7. CIO Health Score View</t>
  </si>
  <si>
    <t>Score</t>
  </si>
  <si>
    <t>One-line Comment</t>
  </si>
  <si>
    <t>Levered Return</t>
  </si>
  <si>
    <t>Currently -2.49%</t>
  </si>
  <si>
    <t>Hedge Effectiveness</t>
  </si>
  <si>
    <t>Permanent basis leakage</t>
  </si>
  <si>
    <t>Concentration Risk</t>
  </si>
  <si>
    <t>Heavy Greystone relationship</t>
  </si>
  <si>
    <t>Recognition Quality</t>
  </si>
  <si>
    <t>Material Gap</t>
  </si>
  <si>
    <t>$19.9m timing difference</t>
  </si>
  <si>
    <t>Overall Sleeve Health</t>
  </si>
  <si>
    <t>Good assets, expensive leverage + residual risks</t>
  </si>
  <si>
    <t>RECOMMENDATIONS: Whitmore Fund II Structured Credit Sleeve</t>
  </si>
  <si>
    <t>As of 31 December 2025</t>
  </si>
  <si>
    <t>Priority ranking: 1 = Highest urgency / impact</t>
  </si>
  <si>
    <t>1. Restrike or Unwind the Interest Rate Swap</t>
  </si>
  <si>
    <t>Priority: High</t>
  </si>
  <si>
    <t>Owner: Trading Desk / Portfolio Management</t>
  </si>
  <si>
    <t>Impact: Stops ongoing ~$368k annual basis leakage</t>
  </si>
  <si>
    <t>Rationale: Permanent 14.713 bps mismatch remains after LIBOR → SOFR transition. The hedge is only partially effective. Continuing to hold it creates a structural drag on levered returns.</t>
  </si>
  <si>
    <t>Suggested Action: Obtain fresh quotes to restrike the floating leg to match the actual facility CSA (or unwind and reassess hedge need).</t>
  </si>
  <si>
    <t>2. Update JPY Forward Notional Immediately</t>
  </si>
  <si>
    <t>Owner: Middle Office / FX Desk</t>
  </si>
  <si>
    <t>Impact: Eliminates ~$2.15m residual FX exposure</t>
  </si>
  <si>
    <t>Rationale: Haruki Anime loan notional was reset in November 2025. The existing forward (WTM-FX-0045) was not updated and remains under-hedged.</t>
  </si>
  <si>
    <t>Suggested Action: Roll or re-size the forward to the post-reset JPY notional as soon as practical.</t>
  </si>
  <si>
    <t>3. Formalise Longwood Content Library Accounting Policy</t>
  </si>
  <si>
    <t>Priority: Medium-High</t>
  </si>
  <si>
    <t>Owner: Fund Accounting + Portfolio Management</t>
  </si>
  <si>
    <t>Impact: Removes ongoing ambiguity in sleeve cost allocation ($1.8m per year)</t>
  </si>
  <si>
    <t>Rationale: Current treatment (Investment Cost to sleeve) is consistent with LAIM strategy but still disputed internally. Lack of a documented policy creates future audit and reporting risk.</t>
  </si>
  <si>
    <t>Suggested Action: Issue a short accounting policy memo confirming the Portfolio view and apply it consistently going forward.</t>
  </si>
  <si>
    <t>4. Tighten Greystone Concentration Monitoring</t>
  </si>
  <si>
    <t>Priority: Medium</t>
  </si>
  <si>
    <t>Owner: Risk Management</t>
  </si>
  <si>
    <t>Impact: Reduces single-counterparty dependency risk</t>
  </si>
  <si>
    <t>Rationale: Greystone represents both the largest facility and the main IRS counterparty. Combined exposure is material relative to sleeve NAV.</t>
  </si>
  <si>
    <t>Suggested Action: Add explicit early-warning triggers and consider diversifying future hedging counterparties.</t>
  </si>
  <si>
    <t>5. Improve Cash vs Recognized Reporting Discipline</t>
  </si>
  <si>
    <t>Owner: Fund Accounting / Investment Operations</t>
  </si>
  <si>
    <t>Impact: Better visibility of the $19.9m timing gap</t>
  </si>
  <si>
    <t>Rationale: Large recognition-timing differences (especially Orion write-down and derivative MTMs) are currently explained after the fact. A simple monthly bridge would help all stakeholders.</t>
  </si>
  <si>
    <t>Suggested Action: Produce a short Cash-to-Accrual bridge as part of the regular reporting pack.</t>
  </si>
  <si>
    <t>CONCENTRATION ANALYSIS – Single-Name &amp; Counterparty Dual View</t>
  </si>
  <si>
    <t>Obligor</t>
  </si>
  <si>
    <t>Funded Balance (USD)</t>
  </si>
  <si>
    <t>% of Book</t>
  </si>
  <si>
    <t>Rank</t>
  </si>
  <si>
    <t>Term A + Mezz + Revolver; restructured mezz</t>
  </si>
  <si>
    <t>Senior + PIK toggle</t>
  </si>
  <si>
    <t>Unitranche + Second Lien</t>
  </si>
  <si>
    <t>Prepayment-adjusted balance</t>
  </si>
  <si>
    <t>Revolver drawn</t>
  </si>
  <si>
    <t>GBP loan; FX-hedged</t>
  </si>
  <si>
    <t>Floating film production</t>
  </si>
  <si>
    <t>JPY revenue; FX under-hedged</t>
  </si>
  <si>
    <t>Live entertainment</t>
  </si>
  <si>
    <t>EUR loan</t>
  </si>
  <si>
    <t>Post production</t>
  </si>
  <si>
    <t>Transferred Beta→Alpha</t>
  </si>
  <si>
    <t>Short-dated bridge (also facility relationship)</t>
  </si>
  <si>
    <t>TOTAL (check vs Funded Balance)</t>
  </si>
  <si>
    <t>Concentration Metrics (formula)</t>
  </si>
  <si>
    <t>Largest Single Obligor Balance</t>
  </si>
  <si>
    <t>Largest Single Obligor % of Book</t>
  </si>
  <si>
    <t>Top-3 Obligors % of Book</t>
  </si>
  <si>
    <t>B. COUNTERPARTY DUAL-CHANNEL VIEW (Greystone)</t>
  </si>
  <si>
    <t>Channel</t>
  </si>
  <si>
    <t>Amount (USD)</t>
  </si>
  <si>
    <t>% / Context</t>
  </si>
  <si>
    <t>1. Lending (Bridge loan to Greystone-related)</t>
  </si>
  <si>
    <t>Loan_Book obligor balance</t>
  </si>
  <si>
    <t>2. Financing – IRS Notional (Greystone)</t>
  </si>
  <si>
    <t>Hedge notional (not funded asset)</t>
  </si>
  <si>
    <t>Derivatives_IRS confirmation</t>
  </si>
  <si>
    <t>3. Financing – Q4 Greystone Facility Interest Paid</t>
  </si>
  <si>
    <t>Q4 interest outflow</t>
  </si>
  <si>
    <t>4. Financing – Q4 Greystone Commitment Fee</t>
  </si>
  <si>
    <t>Q4 commitment fee</t>
  </si>
  <si>
    <t>Combined Greystone Economic Touchpoints (headline)</t>
  </si>
  <si>
    <t>Asset balance + IRS notional (dual channel)</t>
  </si>
  <si>
    <t>Illustrates single-name dependency across lending &amp; hedging</t>
  </si>
  <si>
    <t>Insight: Greystone is both a loan obligor (bridge) and the dominant financing/hedge counterparty (facility interest + $250m IRS). Concentration risk is multi-channel, not just single-name asset risk.</t>
  </si>
  <si>
    <t>Pre-lev yield - Post-lev yield</t>
  </si>
  <si>
    <t>Q4 Loan Income - |Cost of Debt|</t>
  </si>
  <si>
    <t>Pre-lev yield: break-even yield. Negative means asset book currently earns less than the annualised yield needed to cover debt cost (explains negative levered return).</t>
  </si>
  <si>
    <t>IRS Basis Drag: Annual ($)</t>
  </si>
  <si>
    <t>IRS Basis Drag: bps of Funded Book</t>
  </si>
  <si>
    <t>IRS Basis Drag: Days of Q4 Loan Income</t>
  </si>
  <si>
    <t>JPY Residual: bps of Funded Book</t>
  </si>
  <si>
    <t>Combined Residual: bps of Funded Book</t>
  </si>
  <si>
    <t>Yield Gap vs Break-even (ann.) [- = shortfall]</t>
  </si>
  <si>
    <t>Break-even: loan income set = cost of debt → post-lev yield = 0. 
Required asset yield = Performance_Metrics!C32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</si>
</sst>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m/d/yyyy"/>
    <numFmt numFmtId="165" formatCode="d\-mmm\-yy"/>
    <numFmt numFmtId="166" formatCode="#,##0;\(#,##0\);\-"/>
    <numFmt numFmtId="167" formatCode="0.000"/>
    <numFmt numFmtId="168" formatCode="0.0"/>
    <numFmt numFmtId="169" formatCode="_-[$$-409]* #,##0.00_ ;_-[$$-409]* \-#,##0.00\ ;_-[$$-409]* \-??_ ;_-@_ "/>
  </numFmts>
  <fonts count="24" x14ac:knownFonts="1">
    <font>
      <sz val="11"/>
      <color theme="1"/>
      <name val="Calibri"/>
      <family val="2"/>
      <charset val="1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charset val="1"/>
    </font>
    <font>
      <sz val="11"/>
      <color theme="4" tint="-0.249977111117893"/>
      <name val="Calibri"/>
      <family val="2"/>
      <charset val="1"/>
    </font>
    <font>
      <sz val="11"/>
      <color theme="0"/>
      <name val="Calibri"/>
      <family val="2"/>
      <charset val="1"/>
    </font>
    <font>
      <b/>
      <sz val="11"/>
      <color theme="1"/>
      <name val="Calibri"/>
      <family val="2"/>
      <charset val="1"/>
    </font>
    <font>
      <b/>
      <sz val="11"/>
      <color rgb="FF0B1F3A"/>
      <name val="Arial"/>
      <family val="2"/>
    </font>
    <font>
      <sz val="10"/>
      <color rgb="FF000000"/>
      <name val="Arial"/>
      <family val="2"/>
    </font>
    <font>
      <sz val="11"/>
      <color theme="4"/>
      <name val="Calibri"/>
      <family val="2"/>
      <charset val="1"/>
    </font>
    <font>
      <b/>
      <sz val="12"/>
      <color rgb="FFFFFFFF"/>
      <name val="Arial"/>
      <family val="2"/>
    </font>
    <font>
      <i/>
      <sz val="11"/>
      <name val="Calibri"/>
      <family val="2"/>
      <charset val="1"/>
    </font>
    <font>
      <b/>
      <sz val="11"/>
      <name val="Calibri"/>
      <family val="2"/>
      <charset val="1"/>
    </font>
    <font>
      <b/>
      <sz val="11"/>
      <color rgb="FFFFFFFF"/>
      <name val="Calibri"/>
      <family val="2"/>
      <charset val="1"/>
    </font>
    <font>
      <sz val="11"/>
      <name val="Calibri"/>
      <family val="2"/>
      <charset val="1"/>
    </font>
    <font>
      <sz val="11"/>
      <color rgb="FF000000"/>
      <name val="Calibri"/>
      <family val="2"/>
      <charset val="1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name val="Calibri"/>
      <family val="2"/>
      <scheme val="minor"/>
    </font>
    <font>
      <sz val="11"/>
      <color theme="8" tint="-0.249977111117893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rgb="FF0B1F3A"/>
      <name val="Calibri"/>
      <family val="2"/>
      <scheme val="minor"/>
    </font>
    <font>
      <i/>
      <sz val="11"/>
      <color rgb="FF5A6A7A"/>
      <name val="Calibri"/>
      <family val="2"/>
      <scheme val="minor"/>
    </font>
    <font>
      <sz val="11"/>
      <color theme="1"/>
      <name val="Calibri"/>
      <family val="2"/>
    </font>
  </fonts>
  <fills count="16">
    <fill>
      <patternFill patternType="none"/>
    </fill>
    <fill>
      <patternFill patternType="gray125"/>
    </fill>
    <fill>
      <patternFill patternType="solid">
        <fgColor theme="4" tint="-0.249977111117893"/>
        <bgColor rgb="FF0D7377"/>
      </patternFill>
    </fill>
    <fill>
      <patternFill patternType="solid">
        <fgColor rgb="FF00B050"/>
        <bgColor rgb="FF008080"/>
      </patternFill>
    </fill>
    <fill>
      <patternFill patternType="solid">
        <fgColor rgb="FFFFC000"/>
        <bgColor rgb="FFFF9900"/>
      </patternFill>
    </fill>
    <fill>
      <patternFill patternType="solid">
        <fgColor rgb="FFFF0000"/>
        <bgColor rgb="FFB33A3A"/>
      </patternFill>
    </fill>
    <fill>
      <patternFill patternType="solid">
        <fgColor rgb="FFD6DCE4"/>
        <bgColor rgb="FFD0D7DE"/>
      </patternFill>
    </fill>
    <fill>
      <patternFill patternType="solid">
        <fgColor rgb="FFD6EAF8"/>
        <bgColor rgb="FFD5F5E3"/>
      </patternFill>
    </fill>
    <fill>
      <patternFill patternType="solid">
        <fgColor theme="8" tint="-0.249977111117893"/>
        <bgColor rgb="FF003300"/>
      </patternFill>
    </fill>
    <fill>
      <patternFill patternType="solid">
        <fgColor theme="8" tint="0.39997558519241921"/>
        <bgColor rgb="FF008080"/>
      </patternFill>
    </fill>
    <fill>
      <patternFill patternType="solid">
        <fgColor theme="8" tint="0.59999389629810485"/>
        <bgColor rgb="FFD6EAF8"/>
      </patternFill>
    </fill>
    <fill>
      <patternFill patternType="solid">
        <fgColor theme="8" tint="0.59999389629810485"/>
        <bgColor rgb="FFFFFFFF"/>
      </patternFill>
    </fill>
    <fill>
      <patternFill patternType="solid">
        <fgColor theme="8" tint="0.59999389629810485"/>
        <bgColor rgb="FFFFF2CC"/>
      </patternFill>
    </fill>
    <fill>
      <patternFill patternType="solid">
        <fgColor theme="9" tint="0.39997558519241921"/>
        <bgColor rgb="FF008080"/>
      </patternFill>
    </fill>
    <fill>
      <patternFill patternType="solid">
        <fgColor rgb="FFFF5050"/>
        <bgColor rgb="FFB33A3A"/>
      </patternFill>
    </fill>
    <fill>
      <patternFill patternType="solid">
        <fgColor theme="7" tint="0.39997558519241921"/>
        <bgColor rgb="FFFF9900"/>
      </patternFill>
    </fill>
  </fills>
  <borders count="4">
    <border>
      <left/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rgb="FFD0D7DE"/>
      </left>
      <right style="thin">
        <color rgb="FFD0D7DE"/>
      </right>
      <top style="thin">
        <color rgb="FFD0D7DE"/>
      </top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04">
    <xf numFmtId="0" fontId="0" fillId="0" borderId="0" xfId="0"/>
    <xf numFmtId="0" fontId="11" fillId="0" borderId="0" xfId="0" applyFont="1" applyAlignment="1">
      <alignment horizontal="left"/>
    </xf>
    <xf numFmtId="0" fontId="0" fillId="0" borderId="0" xfId="0" applyAlignment="1">
      <alignment horizontal="left"/>
    </xf>
    <xf numFmtId="0" fontId="4" fillId="2" borderId="0" xfId="0" applyFont="1" applyFill="1" applyAlignment="1">
      <alignment horizontal="left"/>
    </xf>
    <xf numFmtId="0" fontId="2" fillId="2" borderId="0" xfId="0" applyFont="1" applyFill="1" applyAlignment="1">
      <alignment horizontal="left"/>
    </xf>
    <xf numFmtId="0" fontId="2" fillId="2" borderId="0" xfId="0" applyFont="1" applyFill="1" applyAlignment="1">
      <alignment horizontal="left"/>
    </xf>
    <xf numFmtId="0" fontId="3" fillId="0" borderId="0" xfId="0" applyFont="1"/>
    <xf numFmtId="0" fontId="0" fillId="0" borderId="0" xfId="0" applyAlignment="1">
      <alignment horizontal="right"/>
    </xf>
    <xf numFmtId="10" fontId="0" fillId="0" borderId="0" xfId="0" applyNumberFormat="1" applyAlignment="1">
      <alignment horizontal="right"/>
    </xf>
    <xf numFmtId="164" fontId="0" fillId="0" borderId="0" xfId="0" applyNumberFormat="1"/>
    <xf numFmtId="10" fontId="3" fillId="0" borderId="0" xfId="0" applyNumberFormat="1" applyFont="1" applyAlignment="1">
      <alignment horizontal="right"/>
    </xf>
    <xf numFmtId="0" fontId="5" fillId="0" borderId="0" xfId="0" applyFont="1"/>
    <xf numFmtId="0" fontId="5" fillId="0" borderId="1" xfId="0" applyFont="1" applyBorder="1"/>
    <xf numFmtId="0" fontId="0" fillId="0" borderId="1" xfId="0" applyBorder="1"/>
    <xf numFmtId="0" fontId="0" fillId="0" borderId="0" xfId="0" applyAlignment="1">
      <alignment horizontal="left"/>
    </xf>
    <xf numFmtId="0" fontId="2" fillId="2" borderId="0" xfId="0" applyFont="1" applyFill="1"/>
    <xf numFmtId="0" fontId="3" fillId="0" borderId="0" xfId="0" applyFont="1" applyAlignment="1">
      <alignment horizontal="right"/>
    </xf>
    <xf numFmtId="165" fontId="0" fillId="0" borderId="0" xfId="0" applyNumberFormat="1" applyAlignment="1">
      <alignment horizontal="right"/>
    </xf>
    <xf numFmtId="0" fontId="6" fillId="0" borderId="0" xfId="0" applyFont="1"/>
    <xf numFmtId="166" fontId="7" fillId="0" borderId="0" xfId="0" applyNumberFormat="1" applyFont="1" applyAlignment="1">
      <alignment horizontal="right"/>
    </xf>
    <xf numFmtId="0" fontId="8" fillId="0" borderId="0" xfId="0" applyFont="1"/>
    <xf numFmtId="3" fontId="3" fillId="0" borderId="0" xfId="0" applyNumberFormat="1" applyFont="1" applyAlignment="1">
      <alignment horizontal="right"/>
    </xf>
    <xf numFmtId="3" fontId="3" fillId="0" borderId="0" xfId="0" applyNumberFormat="1" applyFont="1"/>
    <xf numFmtId="166" fontId="0" fillId="0" borderId="0" xfId="0" applyNumberFormat="1" applyAlignment="1">
      <alignment horizontal="right"/>
    </xf>
    <xf numFmtId="10" fontId="0" fillId="0" borderId="0" xfId="0" applyNumberFormat="1"/>
    <xf numFmtId="0" fontId="2" fillId="3" borderId="0" xfId="0" applyFont="1" applyFill="1"/>
    <xf numFmtId="0" fontId="2" fillId="4" borderId="0" xfId="0" applyFont="1" applyFill="1"/>
    <xf numFmtId="0" fontId="2" fillId="5" borderId="0" xfId="0" applyFont="1" applyFill="1"/>
    <xf numFmtId="0" fontId="10" fillId="0" borderId="0" xfId="0" applyFont="1"/>
    <xf numFmtId="0" fontId="12" fillId="2" borderId="0" xfId="0" applyFont="1" applyFill="1"/>
    <xf numFmtId="0" fontId="13" fillId="0" borderId="0" xfId="0" applyFont="1"/>
    <xf numFmtId="0" fontId="11" fillId="6" borderId="0" xfId="0" applyFont="1" applyFill="1"/>
    <xf numFmtId="0" fontId="12" fillId="2" borderId="0" xfId="0" applyFont="1" applyFill="1" applyAlignment="1">
      <alignment horizontal="center" wrapText="1"/>
    </xf>
    <xf numFmtId="166" fontId="14" fillId="0" borderId="0" xfId="0" applyNumberFormat="1" applyFont="1"/>
    <xf numFmtId="10" fontId="14" fillId="0" borderId="0" xfId="0" applyNumberFormat="1" applyFont="1"/>
    <xf numFmtId="0" fontId="11" fillId="0" borderId="0" xfId="0" applyFont="1"/>
    <xf numFmtId="0" fontId="2" fillId="2" borderId="0" xfId="0" applyFont="1" applyFill="1" applyAlignment="1">
      <alignment horizontal="left" vertical="center" wrapText="1"/>
    </xf>
    <xf numFmtId="0" fontId="2" fillId="2" borderId="0" xfId="0" applyFont="1" applyFill="1" applyAlignment="1">
      <alignment horizontal="right" vertical="center" wrapText="1"/>
    </xf>
    <xf numFmtId="0" fontId="0" fillId="0" borderId="0" xfId="0" applyAlignment="1">
      <alignment vertical="center" wrapText="1"/>
    </xf>
    <xf numFmtId="10" fontId="0" fillId="0" borderId="0" xfId="0" applyNumberFormat="1" applyAlignment="1">
      <alignment horizontal="right" vertical="center" wrapText="1"/>
    </xf>
    <xf numFmtId="0" fontId="0" fillId="0" borderId="0" xfId="0" applyAlignment="1">
      <alignment horizontal="right" vertical="center" wrapText="1"/>
    </xf>
    <xf numFmtId="169" fontId="0" fillId="0" borderId="0" xfId="0" applyNumberFormat="1" applyAlignment="1">
      <alignment horizontal="right" vertical="center" wrapText="1"/>
    </xf>
    <xf numFmtId="0" fontId="2" fillId="2" borderId="0" xfId="0" applyFont="1" applyFill="1" applyAlignment="1">
      <alignment horizontal="center" vertical="center" wrapText="1"/>
    </xf>
    <xf numFmtId="0" fontId="4" fillId="2" borderId="0" xfId="0" applyFont="1" applyFill="1"/>
    <xf numFmtId="0" fontId="9" fillId="0" borderId="0" xfId="0" applyFont="1" applyFill="1"/>
    <xf numFmtId="0" fontId="0" fillId="0" borderId="0" xfId="0" applyFill="1"/>
    <xf numFmtId="0" fontId="1" fillId="0" borderId="0" xfId="0" applyFont="1"/>
    <xf numFmtId="0" fontId="1" fillId="0" borderId="0" xfId="0" applyFont="1" applyBorder="1"/>
    <xf numFmtId="10" fontId="17" fillId="0" borderId="0" xfId="0" applyNumberFormat="1" applyFont="1" applyFill="1" applyBorder="1" applyAlignment="1">
      <alignment vertical="center" wrapText="1"/>
    </xf>
    <xf numFmtId="166" fontId="17" fillId="0" borderId="0" xfId="0" applyNumberFormat="1" applyFont="1" applyFill="1" applyBorder="1" applyAlignment="1">
      <alignment vertical="center" wrapText="1"/>
    </xf>
    <xf numFmtId="2" fontId="17" fillId="0" borderId="0" xfId="0" applyNumberFormat="1" applyFont="1" applyFill="1" applyBorder="1" applyAlignment="1">
      <alignment vertical="center" wrapText="1"/>
    </xf>
    <xf numFmtId="168" fontId="17" fillId="0" borderId="0" xfId="0" applyNumberFormat="1" applyFont="1" applyFill="1" applyBorder="1" applyAlignment="1">
      <alignment vertical="center" wrapText="1"/>
    </xf>
    <xf numFmtId="166" fontId="16" fillId="0" borderId="0" xfId="0" applyNumberFormat="1" applyFont="1" applyFill="1" applyBorder="1"/>
    <xf numFmtId="0" fontId="18" fillId="0" borderId="0" xfId="0" applyFont="1" applyFill="1" applyBorder="1" applyAlignment="1">
      <alignment vertical="center" wrapText="1"/>
    </xf>
    <xf numFmtId="0" fontId="15" fillId="0" borderId="0" xfId="0" applyFont="1" applyFill="1" applyBorder="1"/>
    <xf numFmtId="0" fontId="1" fillId="0" borderId="0" xfId="0" applyFont="1" applyBorder="1" applyAlignment="1">
      <alignment horizontal="right"/>
    </xf>
    <xf numFmtId="0" fontId="0" fillId="0" borderId="0" xfId="0" applyFill="1" applyAlignment="1">
      <alignment horizontal="left"/>
    </xf>
    <xf numFmtId="0" fontId="1" fillId="0" borderId="0" xfId="0" applyFont="1" applyBorder="1" applyAlignment="1">
      <alignment horizontal="left" vertical="center" wrapText="1"/>
    </xf>
    <xf numFmtId="0" fontId="1" fillId="0" borderId="0" xfId="0" applyFont="1" applyBorder="1" applyAlignment="1">
      <alignment horizontal="left"/>
    </xf>
    <xf numFmtId="0" fontId="2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0" fillId="0" borderId="0" xfId="0" applyFill="1" applyAlignment="1">
      <alignment horizontal="center"/>
    </xf>
    <xf numFmtId="0" fontId="1" fillId="0" borderId="0" xfId="0" applyFont="1" applyBorder="1" applyAlignment="1">
      <alignment horizontal="center" vertical="center" wrapText="1"/>
    </xf>
    <xf numFmtId="0" fontId="1" fillId="0" borderId="0" xfId="0" applyFont="1" applyBorder="1" applyAlignment="1">
      <alignment horizontal="center"/>
    </xf>
    <xf numFmtId="0" fontId="11" fillId="0" borderId="0" xfId="0" applyFont="1" applyFill="1"/>
    <xf numFmtId="0" fontId="6" fillId="7" borderId="0" xfId="0" applyFont="1" applyFill="1" applyAlignment="1">
      <alignment horizontal="left"/>
    </xf>
    <xf numFmtId="0" fontId="20" fillId="8" borderId="0" xfId="0" applyFont="1" applyFill="1" applyAlignment="1">
      <alignment horizontal="left"/>
    </xf>
    <xf numFmtId="0" fontId="21" fillId="7" borderId="0" xfId="0" applyFont="1" applyFill="1" applyAlignment="1">
      <alignment horizontal="left"/>
    </xf>
    <xf numFmtId="10" fontId="1" fillId="0" borderId="0" xfId="0" applyNumberFormat="1" applyFont="1" applyAlignment="1">
      <alignment horizontal="right"/>
    </xf>
    <xf numFmtId="0" fontId="1" fillId="0" borderId="0" xfId="0" applyFont="1" applyAlignment="1">
      <alignment horizontal="right"/>
    </xf>
    <xf numFmtId="0" fontId="22" fillId="0" borderId="0" xfId="0" applyFont="1"/>
    <xf numFmtId="166" fontId="1" fillId="0" borderId="0" xfId="0" applyNumberFormat="1" applyFont="1"/>
    <xf numFmtId="0" fontId="20" fillId="9" borderId="0" xfId="0" applyFont="1" applyFill="1"/>
    <xf numFmtId="0" fontId="20" fillId="9" borderId="0" xfId="0" applyFont="1" applyFill="1" applyAlignment="1">
      <alignment horizontal="right"/>
    </xf>
    <xf numFmtId="0" fontId="1" fillId="0" borderId="0" xfId="0" applyFont="1"/>
    <xf numFmtId="166" fontId="17" fillId="10" borderId="0" xfId="0" applyNumberFormat="1" applyFont="1" applyFill="1"/>
    <xf numFmtId="10" fontId="17" fillId="10" borderId="0" xfId="0" applyNumberFormat="1" applyFont="1" applyFill="1"/>
    <xf numFmtId="166" fontId="1" fillId="11" borderId="0" xfId="0" applyNumberFormat="1" applyFont="1" applyFill="1"/>
    <xf numFmtId="10" fontId="19" fillId="12" borderId="0" xfId="0" applyNumberFormat="1" applyFont="1" applyFill="1"/>
    <xf numFmtId="3" fontId="19" fillId="12" borderId="0" xfId="0" applyNumberFormat="1" applyFont="1" applyFill="1"/>
    <xf numFmtId="166" fontId="1" fillId="12" borderId="0" xfId="0" applyNumberFormat="1" applyFont="1" applyFill="1"/>
    <xf numFmtId="10" fontId="1" fillId="0" borderId="0" xfId="0" applyNumberFormat="1" applyFont="1"/>
    <xf numFmtId="10" fontId="1" fillId="11" borderId="0" xfId="0" applyNumberFormat="1" applyFont="1" applyFill="1"/>
    <xf numFmtId="10" fontId="1" fillId="10" borderId="0" xfId="0" applyNumberFormat="1" applyFont="1" applyFill="1"/>
    <xf numFmtId="166" fontId="19" fillId="11" borderId="0" xfId="0" applyNumberFormat="1" applyFont="1" applyFill="1"/>
    <xf numFmtId="167" fontId="19" fillId="0" borderId="0" xfId="0" applyNumberFormat="1" applyFont="1" applyAlignment="1">
      <alignment horizontal="right"/>
    </xf>
    <xf numFmtId="0" fontId="20" fillId="9" borderId="2" xfId="0" applyFont="1" applyFill="1" applyBorder="1"/>
    <xf numFmtId="0" fontId="20" fillId="9" borderId="2" xfId="0" applyFont="1" applyFill="1" applyBorder="1" applyAlignment="1">
      <alignment horizontal="right"/>
    </xf>
    <xf numFmtId="0" fontId="16" fillId="0" borderId="0" xfId="0" applyFont="1" applyBorder="1"/>
    <xf numFmtId="166" fontId="1" fillId="0" borderId="0" xfId="0" applyNumberFormat="1" applyFont="1" applyBorder="1"/>
    <xf numFmtId="10" fontId="17" fillId="0" borderId="0" xfId="0" applyNumberFormat="1" applyFont="1" applyBorder="1"/>
    <xf numFmtId="0" fontId="18" fillId="0" borderId="3" xfId="0" applyFont="1" applyBorder="1"/>
    <xf numFmtId="166" fontId="1" fillId="0" borderId="3" xfId="0" applyNumberFormat="1" applyFont="1" applyBorder="1"/>
    <xf numFmtId="10" fontId="17" fillId="0" borderId="3" xfId="0" applyNumberFormat="1" applyFont="1" applyBorder="1"/>
    <xf numFmtId="0" fontId="1" fillId="0" borderId="3" xfId="0" applyFont="1" applyBorder="1"/>
    <xf numFmtId="0" fontId="0" fillId="0" borderId="0" xfId="0" applyAlignment="1">
      <alignment wrapText="1"/>
    </xf>
    <xf numFmtId="0" fontId="13" fillId="0" borderId="0" xfId="0" applyFont="1" applyAlignment="1">
      <alignment vertical="center"/>
    </xf>
    <xf numFmtId="166" fontId="14" fillId="0" borderId="0" xfId="0" applyNumberFormat="1" applyFont="1" applyAlignment="1">
      <alignment vertical="center"/>
    </xf>
    <xf numFmtId="10" fontId="14" fillId="0" borderId="0" xfId="0" applyNumberFormat="1" applyFont="1" applyAlignment="1">
      <alignment vertical="center"/>
    </xf>
    <xf numFmtId="10" fontId="0" fillId="0" borderId="0" xfId="0" applyNumberFormat="1" applyAlignment="1">
      <alignment vertical="center"/>
    </xf>
    <xf numFmtId="0" fontId="12" fillId="2" borderId="0" xfId="0" applyFont="1" applyFill="1" applyAlignment="1">
      <alignment horizontal="left" wrapText="1"/>
    </xf>
    <xf numFmtId="0" fontId="23" fillId="13" borderId="0" xfId="0" applyFont="1" applyFill="1" applyAlignment="1">
      <alignment horizontal="right" vertical="center" wrapText="1"/>
    </xf>
    <xf numFmtId="0" fontId="23" fillId="14" borderId="0" xfId="0" applyFont="1" applyFill="1" applyAlignment="1">
      <alignment horizontal="right" vertical="center" wrapText="1"/>
    </xf>
    <xf numFmtId="0" fontId="23" fillId="15" borderId="0" xfId="0" applyFont="1" applyFill="1" applyAlignment="1">
      <alignment horizontal="right" vertical="center" wrapText="1"/>
    </xf>
  </cellXfs>
  <cellStyles count="1">
    <cellStyle name="Normal" xfId="0" builtinId="0"/>
  </cellStyles>
  <dxfs count="72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B1F3A"/>
        <name val="Calibri"/>
        <family val="2"/>
        <scheme val="minor"/>
      </font>
      <fill>
        <patternFill patternType="solid">
          <fgColor rgb="FFD5F5E3"/>
          <bgColor rgb="FFD6EAF8"/>
        </patternFill>
      </fill>
      <alignment horizontal="left" vertical="bottom" textRotation="0" wrapText="0" indent="0" justifyLastLine="0" shrinkToFit="0" readingOrder="0"/>
      <border diagonalUp="0" diagonalDown="0" outline="0">
        <left/>
        <right/>
        <top/>
        <bottom style="thin">
          <color rgb="FFD0D7DE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B1F3A"/>
        <name val="Calibri"/>
        <family val="2"/>
        <scheme val="minor"/>
      </font>
      <fill>
        <patternFill patternType="solid">
          <fgColor rgb="FFD5F5E3"/>
          <bgColor rgb="FFD6EAF8"/>
        </patternFill>
      </fill>
      <alignment horizontal="left" vertical="bottom" textRotation="0" wrapText="0" indent="0" justifyLastLine="0" shrinkToFit="0" readingOrder="0"/>
      <border diagonalUp="0" diagonalDown="0" outline="0">
        <left/>
        <right/>
        <top/>
        <bottom style="thin">
          <color rgb="FFD0D7DE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B1F3A"/>
        <name val="Calibri"/>
        <family val="2"/>
        <scheme val="minor"/>
      </font>
      <fill>
        <patternFill patternType="solid">
          <fgColor rgb="FFD5F5E3"/>
          <bgColor rgb="FFD6EAF8"/>
        </patternFill>
      </fill>
      <alignment horizontal="left" vertical="bottom" textRotation="0" wrapText="0" indent="0" justifyLastLine="0" shrinkToFit="0" readingOrder="0"/>
      <border diagonalUp="0" diagonalDown="0" outline="0">
        <left/>
        <right/>
        <top/>
        <bottom style="thin">
          <color rgb="FFD0D7DE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B1F3A"/>
        <name val="Calibri"/>
        <family val="2"/>
        <scheme val="minor"/>
      </font>
      <fill>
        <patternFill patternType="solid">
          <fgColor rgb="FFD5F5E3"/>
          <bgColor rgb="FFD6EAF8"/>
        </patternFill>
      </fill>
      <alignment horizontal="left" vertical="bottom" textRotation="0" wrapText="0" indent="0" justifyLastLine="0" shrinkToFit="0" readingOrder="0"/>
      <border diagonalUp="0" diagonalDown="0" outline="0">
        <left/>
        <right/>
        <top/>
        <bottom style="thin">
          <color rgb="FFD0D7DE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B1F3A"/>
        <name val="Calibri"/>
        <family val="2"/>
        <scheme val="minor"/>
      </font>
      <fill>
        <patternFill patternType="solid">
          <fgColor rgb="FFD5F5E3"/>
          <bgColor rgb="FFD6EAF8"/>
        </patternFill>
      </fill>
      <alignment horizontal="left" vertical="bottom" textRotation="0" wrapText="0" indent="0" justifyLastLine="0" shrinkToFit="0" readingOrder="0"/>
      <border diagonalUp="0" diagonalDown="0" outline="0">
        <left/>
        <right/>
        <top/>
        <bottom style="thin">
          <color rgb="FFD0D7DE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charset val="1"/>
        <scheme val="none"/>
      </font>
      <fill>
        <patternFill patternType="solid">
          <fgColor rgb="FF0D7377"/>
          <bgColor theme="4" tint="-0.249977111117893"/>
        </patternFill>
      </fill>
      <alignment horizontal="lef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charset val="1"/>
        <scheme val="none"/>
      </font>
      <fill>
        <patternFill patternType="solid">
          <fgColor rgb="FF0D7377"/>
          <bgColor theme="4" tint="-0.249977111117893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charset val="1"/>
        <scheme val="none"/>
      </font>
      <fill>
        <patternFill patternType="solid">
          <fgColor rgb="FF0D7377"/>
          <bgColor theme="4" tint="-0.249977111117893"/>
        </patternFill>
      </fill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4" tint="-0.249977111117893"/>
        <name val="Calibri"/>
        <family val="2"/>
        <charset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4" tint="-0.249977111117893"/>
        <name val="Calibri"/>
        <family val="2"/>
        <charset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4" tint="-0.249977111117893"/>
        <name val="Calibri"/>
        <family val="2"/>
        <charset val="1"/>
        <scheme val="none"/>
      </font>
    </dxf>
    <dxf>
      <numFmt numFmtId="164" formatCode="m/d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4" tint="-0.249977111117893"/>
        <name val="Calibri"/>
        <family val="2"/>
        <charset val="1"/>
        <scheme val="none"/>
      </font>
      <numFmt numFmtId="14" formatCode="0.00%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4" tint="-0.249977111117893"/>
        <name val="Calibri"/>
        <family val="2"/>
        <charset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4" tint="-0.249977111117893"/>
        <name val="Calibri"/>
        <family val="2"/>
        <charset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4" tint="-0.249977111117893"/>
        <name val="Calibri"/>
        <family val="2"/>
        <charset val="1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family val="2"/>
        <charset val="1"/>
        <scheme val="none"/>
      </font>
      <fill>
        <patternFill patternType="solid">
          <fgColor rgb="FF0D7377"/>
          <bgColor theme="4" tint="-0.249977111117893"/>
        </patternFill>
      </fill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charset val="1"/>
        <scheme val="none"/>
      </font>
    </dxf>
    <dxf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charset val="1"/>
        <scheme val="none"/>
      </font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charset val="1"/>
        <scheme val="none"/>
      </font>
      <numFmt numFmtId="166" formatCode="#,##0;\(#,##0\);\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charset val="1"/>
        <scheme val="none"/>
      </font>
      <numFmt numFmtId="166" formatCode="#,##0;\(#,##0\);\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charset val="1"/>
        <scheme val="none"/>
      </font>
      <numFmt numFmtId="166" formatCode="#,##0;\(#,##0\);\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charset val="1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charset val="1"/>
        <scheme val="none"/>
      </font>
      <fill>
        <patternFill patternType="solid">
          <fgColor rgb="FF0D7377"/>
          <bgColor theme="4" tint="-0.249977111117893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charset val="1"/>
        <scheme val="none"/>
      </font>
      <fill>
        <patternFill patternType="solid">
          <fgColor rgb="FF008080"/>
          <bgColor rgb="FF00B050"/>
        </patternFill>
      </fill>
    </dxf>
    <dxf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charset val="1"/>
        <scheme val="none"/>
      </font>
      <fill>
        <patternFill patternType="solid">
          <fgColor rgb="FF008080"/>
          <bgColor rgb="FF00B050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charset val="1"/>
        <scheme val="none"/>
      </font>
      <fill>
        <patternFill patternType="solid">
          <fgColor rgb="FF0D7377"/>
          <bgColor theme="4" tint="-0.249977111117893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4" tint="-0.249977111117893"/>
        <name val="Calibri"/>
        <family val="2"/>
        <charset val="1"/>
        <scheme val="none"/>
      </font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4" tint="-0.249977111117893"/>
        <name val="Calibri"/>
        <family val="2"/>
        <charset val="1"/>
        <scheme val="none"/>
      </font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4" tint="-0.249977111117893"/>
        <name val="Calibri"/>
        <family val="2"/>
        <charset val="1"/>
        <scheme val="none"/>
      </font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4" tint="-0.249977111117893"/>
        <name val="Calibri"/>
        <family val="2"/>
        <charset val="1"/>
        <scheme val="none"/>
      </font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charset val="1"/>
        <scheme val="none"/>
      </font>
      <fill>
        <patternFill patternType="solid">
          <fgColor rgb="FF0D7377"/>
          <bgColor theme="4" tint="-0.249977111117893"/>
        </patternFill>
      </fill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4" tint="-0.249977111117893"/>
        <name val="Calibri"/>
        <family val="2"/>
        <charset val="1"/>
        <scheme val="none"/>
      </font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4" tint="-0.249977111117893"/>
        <name val="Calibri"/>
        <family val="2"/>
        <charset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4" tint="-0.249977111117893"/>
        <name val="Calibri"/>
        <family val="2"/>
        <charset val="1"/>
        <scheme val="none"/>
      </font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4" tint="-0.249977111117893"/>
        <name val="Calibri"/>
        <family val="2"/>
        <charset val="1"/>
        <scheme val="none"/>
      </font>
      <numFmt numFmtId="3" formatCode="#,##0"/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charset val="1"/>
        <scheme val="none"/>
      </font>
      <fill>
        <patternFill patternType="solid">
          <fgColor rgb="FF0D7377"/>
          <bgColor theme="4" tint="-0.249977111117893"/>
        </patternFill>
      </fill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4"/>
        <name val="Calibri"/>
        <family val="2"/>
        <charset val="1"/>
        <scheme val="none"/>
      </font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4" tint="-0.249977111117893"/>
        <name val="Calibri"/>
        <family val="2"/>
        <charset val="1"/>
        <scheme val="none"/>
      </font>
    </dxf>
    <dxf>
      <alignment horizontal="right" vertical="bottom" textRotation="0" wrapText="0" indent="0" justifyLastLine="0" shrinkToFit="0" readingOrder="0"/>
    </dxf>
    <dxf>
      <numFmt numFmtId="165" formatCode="d\-mmm\-yy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4" tint="-0.249977111117893"/>
        <name val="Calibri"/>
        <family val="2"/>
        <charset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4" tint="-0.249977111117893"/>
        <name val="Calibri"/>
        <family val="2"/>
        <charset val="1"/>
        <scheme val="none"/>
      </font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B1F3A"/>
        <name val="Calibri"/>
        <family val="2"/>
        <scheme val="minor"/>
      </font>
      <fill>
        <patternFill patternType="solid">
          <fgColor rgb="FFD5F5E3"/>
          <bgColor rgb="FFD6EAF8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5A6A7A"/>
        <name val="Calibri"/>
        <family val="2"/>
        <scheme val="minor"/>
      </font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6" formatCode="#,##0;\(#,##0\);\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border outline="0">
        <bottom style="thin">
          <color rgb="FFD0D7DE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4" formatCode="0.00%"/>
      <fill>
        <patternFill patternType="none">
          <fgColor indexed="64"/>
          <bgColor indexed="65"/>
        </patternFill>
      </fill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general" vertical="center" textRotation="0" wrapText="1" indent="0" justifyLastLine="0" shrinkToFit="0" readingOrder="0"/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D7377"/>
      <rgbColor rgb="FFD6DCE4"/>
      <rgbColor rgb="FF808080"/>
      <rgbColor rgb="FF5B9BD5"/>
      <rgbColor rgb="FFB33A3A"/>
      <rgbColor rgb="FFFFF2CC"/>
      <rgbColor rgb="FFD6EAF8"/>
      <rgbColor rgb="FF660066"/>
      <rgbColor rgb="FFFF8080"/>
      <rgbColor rgb="FF0066CC"/>
      <rgbColor rgb="FFD0D7D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5F5E3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000"/>
      <rgbColor rgb="FFFF9900"/>
      <rgbColor rgb="FFFF6600"/>
      <rgbColor rgb="FF5A6A7A"/>
      <rgbColor rgb="FF969696"/>
      <rgbColor rgb="FF0B1F3A"/>
      <rgbColor rgb="FF00B050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FF505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7406EFA3-104E-473C-ABDE-7A4D184BDEED}" name="Table5" displayName="Table5" ref="B4:Q22" totalsRowShown="0" headerRowDxfId="7" dataDxfId="16">
  <autoFilter ref="B4:Q22" xr:uid="{7406EFA3-104E-473C-ABDE-7A4D184BDEED}"/>
  <tableColumns count="16">
    <tableColumn id="1" xr3:uid="{334EB27A-7234-4C23-882C-C640BED011BC}" name="Loan_ID"/>
    <tableColumn id="2" xr3:uid="{1FA6A420-78A1-4D66-9A13-D0D1311EC842}" name="Source"/>
    <tableColumn id="3" xr3:uid="{4371074F-BE02-4686-95C8-296641EE735D}" name="Obligor_Name"/>
    <tableColumn id="4" xr3:uid="{F936A64B-D39F-4E37-B2D3-B2AD8DD2A2DE}" name="Industry"/>
    <tableColumn id="5" xr3:uid="{49E66B0B-3DB9-4B5B-A12A-AA9117BE201B}" name="Tranche"/>
    <tableColumn id="6" xr3:uid="{352E33C9-B7C5-45D3-B349-B07BAC973161}" name="Commitment_USD" dataDxfId="15"/>
    <tableColumn id="7" xr3:uid="{CDB9E9D6-2568-4BFB-B948-1D31238B3E7D}" name="Current_Balance_USD" dataDxfId="14"/>
    <tableColumn id="8" xr3:uid="{EB0BF90D-DE10-492C-A2D4-E6BCC090DF2C}" name="Coupon_Type"/>
    <tableColumn id="9" xr3:uid="{6D10ABD6-D409-4DE5-AC7B-B417881ACBAF}" name="Rate" dataDxfId="13"/>
    <tableColumn id="10" xr3:uid="{6C215359-2E90-4544-AC6B-68A7BEE548E0}" name="Payment_Freq"/>
    <tableColumn id="11" xr3:uid="{6CC6F0FA-3310-4605-A2F3-643002C82733}" name="Last_Payment_Date" dataDxfId="12"/>
    <tableColumn id="12" xr3:uid="{5F391608-61EA-4FF3-852C-C4F54619F009}" name="Days_Delinquent" dataDxfId="11"/>
    <tableColumn id="13" xr3:uid="{9692D758-3D80-40E7-9CEC-91CC456A7B58}" name="Status"/>
    <tableColumn id="14" xr3:uid="{69670536-C231-4DB1-BB9A-3A347FC9F22C}" name="Cash_Interest_Q4" dataDxfId="10"/>
    <tableColumn id="15" xr3:uid="{A46071AC-6429-4EB9-8E05-5E699D6C04CF}" name="Accrued_PIK_Q4" dataDxfId="9"/>
    <tableColumn id="16" xr3:uid="{B5A17FEC-0868-4B7C-9C99-30B021C8083B}" name="Notes / Adjustment" dataDxfId="8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5A7FCEF3-BD80-4C4F-9391-74F2D359FA9C}" name="Table6" displayName="Table6" ref="B2:D12" totalsRowShown="0">
  <autoFilter ref="B2:D12" xr:uid="{5A7FCEF3-BD80-4C4F-9391-74F2D359FA9C}"/>
  <tableColumns count="3">
    <tableColumn id="1" xr3:uid="{00583DE2-6547-496C-A404-E272A500F275}" name="Item"/>
    <tableColumn id="2" xr3:uid="{5C09FDF6-87DE-4CD2-BBD3-480C20923E8D}" name="Value"/>
    <tableColumn id="3" xr3:uid="{E0B60E2D-8CC3-4B3F-8745-BB5373E74A44}" name="Source / Notes" dataDxfId="59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B97CB705-6AA1-4C60-AB2C-AF6CF2774BE0}" name="Table7" displayName="Table7" ref="B2:K5" totalsRowShown="0" headerRowDxfId="6">
  <autoFilter ref="B2:K5" xr:uid="{B97CB705-6AA1-4C60-AB2C-AF6CF2774BE0}"/>
  <tableColumns count="10">
    <tableColumn id="1" xr3:uid="{239807B9-5975-4E7D-B363-740737B72B39}" name="Trade_ID"/>
    <tableColumn id="2" xr3:uid="{227DA38A-2BAC-4332-BCF4-0489A4811B0B}" name="Currency_Pair"/>
    <tableColumn id="3" xr3:uid="{C538973E-ECD1-4DF1-85FF-D52DE82D803E}" name="Purpose"/>
    <tableColumn id="4" xr3:uid="{6821D9F5-AFCC-4380-8148-235349567D7D}" name="Notional" dataDxfId="58"/>
    <tableColumn id="5" xr3:uid="{9C091578-A271-4D9F-8121-B2B72CBDD6E8}" name="Direction"/>
    <tableColumn id="6" xr3:uid="{6A1BC038-926D-4C21-8F41-6799DB4BF6A4}" name="Contract_Rate" dataDxfId="57"/>
    <tableColumn id="7" xr3:uid="{DE41B9BE-A931-44FD-9FB5-903C229D94E5}" name="Value_Date" dataDxfId="56"/>
    <tableColumn id="8" xr3:uid="{CBEBE414-CC90-42AE-A369-8C300A3F2C32}" name="Status" dataDxfId="55"/>
    <tableColumn id="9" xr3:uid="{18FAC5B0-E138-49AB-A8E1-ECBCBB02BD4C}" name="Realised_PnL_USD" dataDxfId="54"/>
    <tableColumn id="10" xr3:uid="{93CD446D-37B8-4D02-989B-771CD45E2AAD}" name="Notes" dataDxfId="53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7989FA0A-8F58-44B1-9764-2875FA6DAC4B}" name="Table8" displayName="Table8" ref="B2:D15" totalsRowShown="0">
  <autoFilter ref="B2:D15" xr:uid="{7989FA0A-8F58-44B1-9764-2875FA6DAC4B}"/>
  <tableColumns count="3">
    <tableColumn id="1" xr3:uid="{D7872EBF-F35C-4084-BFEA-81780508EB8D}" name="Item"/>
    <tableColumn id="2" xr3:uid="{768FB578-1DE3-4034-ACAB-C7C7DFBFA523}" name="Value" dataDxfId="52"/>
    <tableColumn id="3" xr3:uid="{CBE1D605-8EE5-4FD0-BCA8-24E785C5407B}" name="Source / Notes" dataDxfId="51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AC8AF59F-7DE8-4905-8E0C-DC676D76FEC1}" name="Table9" displayName="Table9" ref="B2:F11" totalsRowShown="0" headerRowDxfId="47">
  <autoFilter ref="B2:F11" xr:uid="{AC8AF59F-7DE8-4905-8E0C-DC676D76FEC1}"/>
  <tableColumns count="5">
    <tableColumn id="1" xr3:uid="{2DB8131C-D4E5-44E2-9045-1D22C28A9C28}" name="Asset_Class"/>
    <tableColumn id="2" xr3:uid="{9CF545DD-8D15-4FA5-8FE6-5075F26E596D}" name="Trade_Ref"/>
    <tableColumn id="3" xr3:uid="{A11C2200-7C03-4D40-8F14-48FA5594606F}" name="Fair_Value_to_Fund_USD" dataDxfId="50"/>
    <tableColumn id="4" xr3:uid="{328A37AA-D98D-4AE5-956A-C73A930D5337}" name="Status" dataDxfId="49"/>
    <tableColumn id="5" xr3:uid="{191242CF-9BD0-48F7-8146-D28B362AA95C}" name="Notes" dataDxfId="48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132A467E-66D7-498C-B2D2-A970C63C0DE1}" name="Table10" displayName="Table10" ref="B2:E7" totalsRowShown="0">
  <autoFilter ref="B2:E7" xr:uid="{132A467E-66D7-498C-B2D2-A970C63C0DE1}"/>
  <tableColumns count="4">
    <tableColumn id="1" xr3:uid="{440254BB-FE1C-449C-8FD2-A96994738749}" name="Category"/>
    <tableColumn id="2" xr3:uid="{27BA942B-D414-42D4-94C2-DC2E36C4F827}" name="Description"/>
    <tableColumn id="3" xr3:uid="{4A85EBA8-E859-4897-8AEE-84BABE61DD5A}" name="Amount_USD" dataDxfId="46"/>
    <tableColumn id="4" xr3:uid="{AF33D861-72D9-4354-B767-EA3598630113}" name="Notes" dataDxfId="45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DA7FA6ED-0B58-40D8-928C-6881D05929A2}" name="Table11" displayName="Table11" ref="B2:I10" totalsRowShown="0" headerRowDxfId="5">
  <autoFilter ref="B2:I10" xr:uid="{DA7FA6ED-0B58-40D8-928C-6881D05929A2}"/>
  <tableColumns count="8">
    <tableColumn id="1" xr3:uid="{A4FB6B71-06D5-4621-A428-E0840CA406FB}" name="Lease_ID"/>
    <tableColumn id="2" xr3:uid="{E67608AF-054F-4EE8-A7AD-1BD58A5BA537}" name="Asset_Category"/>
    <tableColumn id="3" xr3:uid="{6C5B7FE8-D556-44B6-8A3C-45E2E5A98620}" name="Description"/>
    <tableColumn id="4" xr3:uid="{9A77DA96-E288-4890-A551-EFCF71D142AA}" name="Payment_Frequency"/>
    <tableColumn id="5" xr3:uid="{9BA45AB3-13E8-4CBE-B570-C1FD5965CC5D}" name="Payment_Amount_USD" dataDxfId="44"/>
    <tableColumn id="6" xr3:uid="{5EF43BAE-FB55-46C1-B8DB-3F76BF7808DB}" name="Annual_Cost_USD" dataDxfId="43"/>
    <tableColumn id="7" xr3:uid="{193BB399-CBE3-407B-8020-27AC858C5DA9}" name="Treatment" dataDxfId="42"/>
    <tableColumn id="8" xr3:uid="{7216560A-F05F-4265-B99B-F3D9C3823224}" name="Notes" dataDxfId="41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862EE7EA-8179-46F1-98EF-E2030DB4E43D}" name="Table12" displayName="Table12" ref="B2:G23" totalsRowShown="0" headerRowDxfId="35" dataDxfId="36">
  <autoFilter ref="B2:G23" xr:uid="{862EE7EA-8179-46F1-98EF-E2030DB4E43D}"/>
  <tableColumns count="6">
    <tableColumn id="1" xr3:uid="{F7685D37-B851-4F68-9C6A-C3E9DCB1E126}" name="Category"/>
    <tableColumn id="2" xr3:uid="{FF5F9530-29EA-45FA-84A4-9F5178A995F0}" name="Sub_Category"/>
    <tableColumn id="3" xr3:uid="{EB0EF2AC-355E-4F8C-9259-043C5F1126AA}" name="Amount_USD" dataDxfId="40"/>
    <tableColumn id="4" xr3:uid="{304BD048-9957-46DC-9637-76A594DD9D4C}" name="Direction" dataDxfId="39"/>
    <tableColumn id="5" xr3:uid="{8DDE0833-7CD4-473A-A149-0F9DBD4D5F79}" name="Linked_To" dataDxfId="38"/>
    <tableColumn id="6" xr3:uid="{AF48AC32-A73A-44D7-A302-2AB210DA4107}" name="Notes" dataDxfId="37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A5FC05C2-F0BA-44E6-BF17-8884962A82F7}" name="Table13" displayName="Table13" ref="B2:F11" totalsRowShown="0" headerRowDxfId="29" dataDxfId="30">
  <autoFilter ref="B2:F11" xr:uid="{A5FC05C2-F0BA-44E6-BF17-8884962A82F7}"/>
  <tableColumns count="5">
    <tableColumn id="1" xr3:uid="{47C920C7-84C1-4864-91D3-8A9B2D973D25}" name="Metric"/>
    <tableColumn id="2" xr3:uid="{67E2BBAD-D965-449C-9ACE-61350C9AA4B7}" name="Cash_Amount_USD" dataDxfId="34"/>
    <tableColumn id="3" xr3:uid="{699761BC-D0CA-4A96-B277-AF727F6716E2}" name="Recognized_Amount_USD" dataDxfId="33"/>
    <tableColumn id="4" xr3:uid="{26CEDDF0-9C3C-46E3-9CBE-F0686B95CA71}" name="Gap_USD" dataDxfId="32"/>
    <tableColumn id="5" xr3:uid="{94A91C92-0AF5-4113-9677-9F6A5DF7C06A}" name="Explanation" dataDxfId="31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B655872-2C5D-427F-903D-44B557329B64}" name="Table1" displayName="Table1" ref="B2:F35" totalsRowShown="0">
  <autoFilter ref="B2:F35" xr:uid="{9B655872-2C5D-427F-903D-44B557329B64}"/>
  <tableColumns count="5">
    <tableColumn id="1" xr3:uid="{ADA4714B-38FB-44CE-ABBF-343A7C5162EA}" name="Metric" dataDxfId="71"/>
    <tableColumn id="2" xr3:uid="{09622196-A0F7-4661-817E-7C3D1D84A8EE}" name="Value" dataDxfId="70"/>
    <tableColumn id="3" xr3:uid="{3D62F220-E84D-43BB-A200-9E8D6CBAEE25}" name="Unit" dataDxfId="69"/>
    <tableColumn id="4" xr3:uid="{45A6CDD6-BA16-40DE-903C-9B45ABBD66FF}" name="Formula / Source" dataDxfId="68"/>
    <tableColumn id="5" xr3:uid="{6E627BE1-867D-42EE-9608-9E39D1845CF9}" name="Commentary" dataDxfId="67"/>
  </tableColumns>
  <tableStyleInfo name="TableStyleMedium6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745A2EB1-7578-43C8-BB12-25127A0B44A2}" name="Table14" displayName="Table14" ref="B9:K17" totalsRowShown="0" headerRowDxfId="25">
  <autoFilter ref="B9:K17" xr:uid="{745A2EB1-7578-43C8-BB12-25127A0B44A2}"/>
  <tableColumns count="10">
    <tableColumn id="1" xr3:uid="{41675C15-7AE9-4F2A-AA1C-814617843D40}" name="Decision_ID"/>
    <tableColumn id="2" xr3:uid="{AF1DA673-6895-4940-9297-F0CE046E4651}" name="Decision_Area"/>
    <tableColumn id="3" xr3:uid="{59FBB025-8DBE-478D-BA8B-E3695EFCA885}" name="Decision_Made"/>
    <tableColumn id="4" xr3:uid="{307B6FA6-C9B4-4683-88C2-1C7410B9EE4A}" name="Alternative_Considered"/>
    <tableColumn id="5" xr3:uid="{2E920AE0-710C-4FC6-B71D-5F8F197FD185}" name="Rationale"/>
    <tableColumn id="6" xr3:uid="{E8676B92-BB78-4637-BACA-BBCF40212DE2}" name="Confidence_Level" dataDxfId="28"/>
    <tableColumn id="7" xr3:uid="{1615A810-06EE-4761-9B6E-2DC764B8ECAA}" name="Confidence_Score"/>
    <tableColumn id="8" xr3:uid="{E1315782-71EC-4174-B613-B34B351D4E3F}" name="Potential_Impact_if_Wrong"/>
    <tableColumn id="9" xr3:uid="{D049C7E5-5CE7-48C1-933E-42EFFD3D5165}" name="Impact_Amount_USD" dataDxfId="27"/>
    <tableColumn id="10" xr3:uid="{9919062E-0BB7-44E5-980A-E925BC6AEEFF}" name="Status" dataDxfId="26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602F029D-F882-4B65-90B9-9C08D9F2CA6C}" name="Table15" displayName="Table15" ref="B17:H24" totalsRowShown="0" headerRowDxfId="17" dataDxfId="18">
  <autoFilter ref="B17:H24" xr:uid="{602F029D-F882-4B65-90B9-9C08D9F2CA6C}"/>
  <tableColumns count="7">
    <tableColumn id="1" xr3:uid="{3C169FC4-71F9-4115-AC16-5A891A24A784}" name="Scenario" dataDxfId="24"/>
    <tableColumn id="2" xr3:uid="{B05B51F8-3D46-47C6-B89F-E2B0A04A82D9}" name="Loan Income" dataDxfId="23"/>
    <tableColumn id="3" xr3:uid="{31BE2F2F-1730-458F-8891-437BA122C6C3}" name="Cost of Debt" dataDxfId="22"/>
    <tableColumn id="4" xr3:uid="{2F6AC7F3-E230-456F-9CAD-97F96EA64641}" name="Net Income" dataDxfId="21">
      <calculatedColumnFormula>C18-D18</calculatedColumnFormula>
    </tableColumn>
    <tableColumn id="5" xr3:uid="{082A8BAE-26B3-49B5-A37C-EF344E401253}" name="Net Yield after Debt (ann.)" dataDxfId="20"/>
    <tableColumn id="6" xr3:uid="{817FCEBB-39DE-437F-82A3-4B35061D7FE6}" name="Change vs Base" dataDxfId="19"/>
    <tableColumn id="7" xr3:uid="{63AB1B84-50C2-482C-A721-00989749729C}" name="Key Assumption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E84E7FA-4D24-43AB-B529-30642A19F532}" name="Table2" displayName="Table2" ref="B4:F17" headerRowCount="0" totalsRowShown="0" headerRowDxfId="60" headerRowBorderDxfId="66">
  <tableColumns count="5">
    <tableColumn id="1" xr3:uid="{ECCB8A24-A3DC-4B47-8886-84B1F432DC28}" name="A. OBLIGOR (SINGLE-NAME) CONCENTRATION" headerRowDxfId="0" dataDxfId="65"/>
    <tableColumn id="2" xr3:uid="{D6A1FDD3-DFEB-4FD4-B803-0EEC7BB736B5}" name="Column1" headerRowDxfId="1" dataDxfId="64">
      <calculatedColumnFormula>SUMIF(Loan_Book!D$6:D$22,B6,Loan_Book!H$6:H$22)</calculatedColumnFormula>
    </tableColumn>
    <tableColumn id="3" xr3:uid="{7B07358A-575E-4B4C-A2DD-DEE3D3762B03}" name="Column2" headerRowDxfId="2" dataDxfId="63">
      <calculatedColumnFormula>IF(Loan_Book_Summary!$D$5=0,0,C6/Loan_Book_Summary!$D$5)</calculatedColumnFormula>
    </tableColumn>
    <tableColumn id="4" xr3:uid="{AF4D523B-80C0-4914-A740-A13E8FB2857E}" name="Column3" headerRowDxfId="3" dataDxfId="62"/>
    <tableColumn id="5" xr3:uid="{5B8C682A-48B2-4370-B120-3B3C047A3385}" name="Column4" headerRowDxfId="4" dataDxfId="6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Q22"/>
  <sheetViews>
    <sheetView showGridLines="0" zoomScale="85" zoomScaleNormal="85" workbookViewId="0">
      <selection activeCell="H1" sqref="H1"/>
    </sheetView>
  </sheetViews>
  <sheetFormatPr defaultColWidth="9" defaultRowHeight="14.4" x14ac:dyDescent="0.3"/>
  <cols>
    <col min="1" max="1" width="1.88671875" customWidth="1"/>
    <col min="2" max="2" width="21.44140625" customWidth="1"/>
    <col min="3" max="3" width="9" customWidth="1"/>
    <col min="4" max="4" width="26.5546875" customWidth="1"/>
    <col min="5" max="5" width="16.6640625" customWidth="1"/>
    <col min="6" max="6" width="13.33203125" customWidth="1"/>
    <col min="7" max="7" width="19.21875" customWidth="1"/>
    <col min="8" max="8" width="22.33203125" customWidth="1"/>
    <col min="9" max="9" width="15.109375" customWidth="1"/>
    <col min="10" max="10" width="10.44140625" customWidth="1"/>
    <col min="11" max="11" width="15.77734375" customWidth="1"/>
    <col min="12" max="12" width="20.6640625" customWidth="1"/>
    <col min="13" max="13" width="18" customWidth="1"/>
    <col min="14" max="14" width="11.77734375" customWidth="1"/>
    <col min="15" max="15" width="18.44140625" customWidth="1"/>
    <col min="16" max="16" width="17.6640625" customWidth="1"/>
    <col min="17" max="17" width="152.44140625" customWidth="1"/>
  </cols>
  <sheetData>
    <row r="2" spans="2:17" ht="14.25" customHeight="1" x14ac:dyDescent="0.3">
      <c r="B2" s="4" t="s">
        <v>0</v>
      </c>
      <c r="C2" s="4"/>
      <c r="D2" s="4"/>
    </row>
    <row r="4" spans="2:17" ht="14.25" customHeight="1" x14ac:dyDescent="0.3">
      <c r="B4" s="5" t="s">
        <v>1</v>
      </c>
      <c r="C4" s="5" t="s">
        <v>2</v>
      </c>
      <c r="D4" s="5" t="s">
        <v>3</v>
      </c>
      <c r="E4" s="5" t="s">
        <v>4</v>
      </c>
      <c r="F4" s="5" t="s">
        <v>5</v>
      </c>
      <c r="G4" s="5" t="s">
        <v>6</v>
      </c>
      <c r="H4" s="5" t="s">
        <v>7</v>
      </c>
      <c r="I4" s="5" t="s">
        <v>8</v>
      </c>
      <c r="J4" s="5" t="s">
        <v>9</v>
      </c>
      <c r="K4" s="5" t="s">
        <v>10</v>
      </c>
      <c r="L4" s="5" t="s">
        <v>11</v>
      </c>
      <c r="M4" s="5" t="s">
        <v>12</v>
      </c>
      <c r="N4" s="5" t="s">
        <v>13</v>
      </c>
      <c r="O4" s="5" t="s">
        <v>14</v>
      </c>
      <c r="P4" s="5" t="s">
        <v>15</v>
      </c>
      <c r="Q4" s="5" t="s">
        <v>16</v>
      </c>
    </row>
    <row r="5" spans="2:17" ht="14.25" customHeight="1" x14ac:dyDescent="0.3">
      <c r="L5" s="6"/>
      <c r="Q5" s="14"/>
    </row>
    <row r="6" spans="2:17" ht="14.25" customHeight="1" x14ac:dyDescent="0.3">
      <c r="B6" t="s">
        <v>17</v>
      </c>
      <c r="C6" t="s">
        <v>18</v>
      </c>
      <c r="D6" t="s">
        <v>19</v>
      </c>
      <c r="E6" t="s">
        <v>20</v>
      </c>
      <c r="F6" t="s">
        <v>21</v>
      </c>
      <c r="G6" s="6">
        <v>45000000</v>
      </c>
      <c r="H6" s="6">
        <v>45000000</v>
      </c>
      <c r="I6" t="s">
        <v>22</v>
      </c>
      <c r="J6" s="8" t="s">
        <v>23</v>
      </c>
      <c r="K6" t="s">
        <v>24</v>
      </c>
      <c r="L6" s="9">
        <v>46022</v>
      </c>
      <c r="M6" s="6">
        <v>0</v>
      </c>
      <c r="N6" t="s">
        <v>25</v>
      </c>
      <c r="O6" s="6">
        <v>1148625</v>
      </c>
      <c r="P6" s="6">
        <v>0</v>
      </c>
      <c r="Q6" s="14" t="s">
        <v>26</v>
      </c>
    </row>
    <row r="7" spans="2:17" ht="14.25" customHeight="1" x14ac:dyDescent="0.3">
      <c r="B7" t="s">
        <v>27</v>
      </c>
      <c r="C7" t="s">
        <v>18</v>
      </c>
      <c r="D7" t="s">
        <v>28</v>
      </c>
      <c r="E7" t="s">
        <v>29</v>
      </c>
      <c r="F7" t="s">
        <v>30</v>
      </c>
      <c r="G7" s="6">
        <v>20000000</v>
      </c>
      <c r="H7" s="6">
        <v>20000000</v>
      </c>
      <c r="I7" t="s">
        <v>31</v>
      </c>
      <c r="J7" s="10">
        <v>9.5000000000000001E-2</v>
      </c>
      <c r="K7" t="s">
        <v>24</v>
      </c>
      <c r="L7" s="9">
        <v>46022</v>
      </c>
      <c r="M7" s="6">
        <v>0</v>
      </c>
      <c r="N7" t="s">
        <v>25</v>
      </c>
      <c r="O7" s="6">
        <v>475000</v>
      </c>
      <c r="P7" s="6">
        <v>0</v>
      </c>
      <c r="Q7" s="14"/>
    </row>
    <row r="8" spans="2:17" ht="14.25" customHeight="1" x14ac:dyDescent="0.3">
      <c r="B8" t="s">
        <v>32</v>
      </c>
      <c r="C8" t="s">
        <v>18</v>
      </c>
      <c r="D8" t="s">
        <v>33</v>
      </c>
      <c r="E8" t="s">
        <v>34</v>
      </c>
      <c r="F8" t="s">
        <v>35</v>
      </c>
      <c r="G8" s="6">
        <v>80000000</v>
      </c>
      <c r="H8" s="6">
        <v>80000000</v>
      </c>
      <c r="I8" t="s">
        <v>22</v>
      </c>
      <c r="J8" s="8" t="s">
        <v>36</v>
      </c>
      <c r="K8" t="s">
        <v>24</v>
      </c>
      <c r="L8" s="9">
        <v>46022</v>
      </c>
      <c r="M8" s="6">
        <v>0</v>
      </c>
      <c r="N8" t="s">
        <v>25</v>
      </c>
      <c r="O8" s="6">
        <v>2172000</v>
      </c>
      <c r="P8" s="6">
        <v>0</v>
      </c>
      <c r="Q8" s="14"/>
    </row>
    <row r="9" spans="2:17" ht="14.25" customHeight="1" x14ac:dyDescent="0.3">
      <c r="B9" t="s">
        <v>37</v>
      </c>
      <c r="C9" t="s">
        <v>18</v>
      </c>
      <c r="D9" t="s">
        <v>38</v>
      </c>
      <c r="E9" t="s">
        <v>39</v>
      </c>
      <c r="F9" t="s">
        <v>30</v>
      </c>
      <c r="G9" s="6">
        <v>15000000</v>
      </c>
      <c r="H9" s="6">
        <v>15000000</v>
      </c>
      <c r="I9" t="s">
        <v>31</v>
      </c>
      <c r="J9" s="10">
        <v>0.11</v>
      </c>
      <c r="K9" t="s">
        <v>24</v>
      </c>
      <c r="L9" s="9">
        <v>46022</v>
      </c>
      <c r="M9" s="6">
        <v>0</v>
      </c>
      <c r="N9" t="s">
        <v>25</v>
      </c>
      <c r="O9" s="6">
        <v>412500</v>
      </c>
      <c r="P9" s="6">
        <v>0</v>
      </c>
      <c r="Q9" s="14"/>
    </row>
    <row r="10" spans="2:17" ht="14.25" customHeight="1" x14ac:dyDescent="0.3">
      <c r="B10" t="s">
        <v>40</v>
      </c>
      <c r="C10" t="s">
        <v>18</v>
      </c>
      <c r="D10" t="s">
        <v>41</v>
      </c>
      <c r="E10" t="s">
        <v>20</v>
      </c>
      <c r="F10" t="s">
        <v>30</v>
      </c>
      <c r="G10" s="6">
        <v>22000000</v>
      </c>
      <c r="H10" s="6">
        <v>22000000</v>
      </c>
      <c r="I10" t="s">
        <v>22</v>
      </c>
      <c r="J10" s="7" t="s">
        <v>42</v>
      </c>
      <c r="K10" t="s">
        <v>24</v>
      </c>
      <c r="L10" s="9">
        <v>46022</v>
      </c>
      <c r="M10" s="6">
        <v>0</v>
      </c>
      <c r="N10" t="s">
        <v>25</v>
      </c>
      <c r="O10" s="6">
        <v>529100</v>
      </c>
      <c r="P10" s="6">
        <v>0</v>
      </c>
      <c r="Q10" s="14" t="s">
        <v>43</v>
      </c>
    </row>
    <row r="11" spans="2:17" ht="14.25" customHeight="1" x14ac:dyDescent="0.3">
      <c r="B11" t="s">
        <v>44</v>
      </c>
      <c r="C11" t="s">
        <v>18</v>
      </c>
      <c r="D11" t="s">
        <v>45</v>
      </c>
      <c r="E11" t="s">
        <v>46</v>
      </c>
      <c r="F11" t="s">
        <v>46</v>
      </c>
      <c r="G11" s="6">
        <v>12000000</v>
      </c>
      <c r="H11" s="6">
        <v>12000000</v>
      </c>
      <c r="I11" t="s">
        <v>22</v>
      </c>
      <c r="J11" s="8" t="s">
        <v>47</v>
      </c>
      <c r="K11" t="s">
        <v>48</v>
      </c>
      <c r="L11" s="9">
        <v>46022</v>
      </c>
      <c r="M11" s="6">
        <v>0</v>
      </c>
      <c r="N11" t="s">
        <v>25</v>
      </c>
      <c r="O11" s="6">
        <v>127000</v>
      </c>
      <c r="P11" s="6">
        <v>0</v>
      </c>
      <c r="Q11" s="14" t="s">
        <v>49</v>
      </c>
    </row>
    <row r="12" spans="2:17" ht="14.25" customHeight="1" x14ac:dyDescent="0.3">
      <c r="B12" t="s">
        <v>50</v>
      </c>
      <c r="C12" t="s">
        <v>51</v>
      </c>
      <c r="D12" t="s">
        <v>52</v>
      </c>
      <c r="E12" t="s">
        <v>53</v>
      </c>
      <c r="F12" t="s">
        <v>30</v>
      </c>
      <c r="G12" s="6">
        <v>35000000</v>
      </c>
      <c r="H12" s="6">
        <v>30500000</v>
      </c>
      <c r="I12" t="s">
        <v>31</v>
      </c>
      <c r="J12" s="10">
        <v>0.09</v>
      </c>
      <c r="K12" t="s">
        <v>24</v>
      </c>
      <c r="L12" s="9">
        <v>46022</v>
      </c>
      <c r="M12" s="6">
        <v>0</v>
      </c>
      <c r="N12" t="s">
        <v>25</v>
      </c>
      <c r="O12" s="6">
        <v>687500</v>
      </c>
      <c r="P12" s="6">
        <v>0</v>
      </c>
      <c r="Q12" s="14" t="s">
        <v>54</v>
      </c>
    </row>
    <row r="13" spans="2:17" ht="14.25" customHeight="1" x14ac:dyDescent="0.3">
      <c r="B13" t="s">
        <v>55</v>
      </c>
      <c r="C13" t="s">
        <v>51</v>
      </c>
      <c r="D13" t="s">
        <v>19</v>
      </c>
      <c r="E13" t="s">
        <v>20</v>
      </c>
      <c r="F13" t="s">
        <v>56</v>
      </c>
      <c r="G13" s="6">
        <v>25000000</v>
      </c>
      <c r="H13" s="6">
        <v>11875000</v>
      </c>
      <c r="I13" t="s">
        <v>31</v>
      </c>
      <c r="J13" s="10">
        <v>0.10249999999999999</v>
      </c>
      <c r="K13" t="s">
        <v>24</v>
      </c>
      <c r="L13" s="9">
        <v>45930</v>
      </c>
      <c r="M13" s="6">
        <v>92</v>
      </c>
      <c r="N13" t="s">
        <v>57</v>
      </c>
      <c r="O13" s="6">
        <v>0</v>
      </c>
      <c r="P13" s="6">
        <v>0</v>
      </c>
      <c r="Q13" s="14" t="s">
        <v>58</v>
      </c>
    </row>
    <row r="14" spans="2:17" ht="14.25" customHeight="1" x14ac:dyDescent="0.3">
      <c r="B14" t="s">
        <v>59</v>
      </c>
      <c r="C14" t="s">
        <v>18</v>
      </c>
      <c r="D14" t="s">
        <v>60</v>
      </c>
      <c r="E14" t="s">
        <v>53</v>
      </c>
      <c r="F14" t="s">
        <v>61</v>
      </c>
      <c r="G14" s="6">
        <v>60000000</v>
      </c>
      <c r="H14" s="6">
        <v>58500000</v>
      </c>
      <c r="I14" t="s">
        <v>22</v>
      </c>
      <c r="J14" s="7" t="s">
        <v>62</v>
      </c>
      <c r="K14" t="s">
        <v>48</v>
      </c>
      <c r="L14" s="9">
        <v>46022</v>
      </c>
      <c r="M14" s="6">
        <v>0</v>
      </c>
      <c r="N14" t="s">
        <v>25</v>
      </c>
      <c r="O14" s="6">
        <v>464625</v>
      </c>
      <c r="P14" s="6">
        <v>0</v>
      </c>
      <c r="Q14" s="14" t="s">
        <v>63</v>
      </c>
    </row>
    <row r="15" spans="2:17" ht="14.25" customHeight="1" x14ac:dyDescent="0.3">
      <c r="B15" t="s">
        <v>64</v>
      </c>
      <c r="C15" t="s">
        <v>18</v>
      </c>
      <c r="D15" t="s">
        <v>60</v>
      </c>
      <c r="E15" t="s">
        <v>53</v>
      </c>
      <c r="F15" t="s">
        <v>65</v>
      </c>
      <c r="G15" s="6">
        <v>1850000</v>
      </c>
      <c r="H15" s="6">
        <v>1850000</v>
      </c>
      <c r="I15" t="s">
        <v>31</v>
      </c>
      <c r="J15" s="10">
        <v>0.125</v>
      </c>
      <c r="K15" t="s">
        <v>66</v>
      </c>
      <c r="L15" s="9">
        <v>46022</v>
      </c>
      <c r="M15" s="6">
        <v>0</v>
      </c>
      <c r="N15" t="s">
        <v>66</v>
      </c>
      <c r="O15" s="6">
        <v>0</v>
      </c>
      <c r="P15" s="6">
        <v>781250</v>
      </c>
      <c r="Q15" s="14" t="s">
        <v>67</v>
      </c>
    </row>
    <row r="16" spans="2:17" ht="14.25" customHeight="1" x14ac:dyDescent="0.3">
      <c r="B16" t="s">
        <v>68</v>
      </c>
      <c r="C16" t="s">
        <v>51</v>
      </c>
      <c r="D16" t="s">
        <v>69</v>
      </c>
      <c r="E16" t="s">
        <v>70</v>
      </c>
      <c r="F16" t="s">
        <v>71</v>
      </c>
      <c r="G16" s="6">
        <v>50000000</v>
      </c>
      <c r="H16" s="6">
        <v>32000000</v>
      </c>
      <c r="I16" t="s">
        <v>22</v>
      </c>
      <c r="J16" s="7" t="s">
        <v>72</v>
      </c>
      <c r="K16" t="s">
        <v>24</v>
      </c>
      <c r="L16" s="9">
        <v>46022</v>
      </c>
      <c r="M16" s="6">
        <v>0</v>
      </c>
      <c r="N16" t="s">
        <v>25</v>
      </c>
      <c r="O16" s="6">
        <v>656000</v>
      </c>
      <c r="P16" s="6">
        <v>0</v>
      </c>
      <c r="Q16" s="14" t="s">
        <v>73</v>
      </c>
    </row>
    <row r="17" spans="2:17" ht="14.25" customHeight="1" x14ac:dyDescent="0.3">
      <c r="B17" t="s">
        <v>74</v>
      </c>
      <c r="C17" t="s">
        <v>75</v>
      </c>
      <c r="D17" t="s">
        <v>19</v>
      </c>
      <c r="E17" t="s">
        <v>20</v>
      </c>
      <c r="F17" t="s">
        <v>71</v>
      </c>
      <c r="G17" s="6">
        <v>15000000</v>
      </c>
      <c r="H17" s="6">
        <v>9750000</v>
      </c>
      <c r="I17" t="s">
        <v>22</v>
      </c>
      <c r="J17" s="7" t="s">
        <v>62</v>
      </c>
      <c r="K17" t="s">
        <v>24</v>
      </c>
      <c r="L17" s="9">
        <v>46022</v>
      </c>
      <c r="M17" s="6">
        <v>0</v>
      </c>
      <c r="N17" t="s">
        <v>25</v>
      </c>
      <c r="O17" s="6">
        <v>189150</v>
      </c>
      <c r="P17" s="6">
        <v>0</v>
      </c>
      <c r="Q17" s="14" t="s">
        <v>76</v>
      </c>
    </row>
    <row r="18" spans="2:17" ht="14.25" customHeight="1" x14ac:dyDescent="0.3">
      <c r="B18" t="s">
        <v>77</v>
      </c>
      <c r="C18" t="s">
        <v>51</v>
      </c>
      <c r="D18" t="s">
        <v>78</v>
      </c>
      <c r="E18" t="s">
        <v>20</v>
      </c>
      <c r="F18" t="s">
        <v>30</v>
      </c>
      <c r="G18" s="6">
        <v>18000000</v>
      </c>
      <c r="H18" s="6">
        <v>18000000</v>
      </c>
      <c r="I18" t="s">
        <v>31</v>
      </c>
      <c r="J18" s="10">
        <v>8.7499999999999994E-2</v>
      </c>
      <c r="K18" t="s">
        <v>79</v>
      </c>
      <c r="L18" s="9">
        <v>46022</v>
      </c>
      <c r="M18" s="6">
        <v>0</v>
      </c>
      <c r="N18" t="s">
        <v>25</v>
      </c>
      <c r="O18" s="6">
        <v>787500</v>
      </c>
      <c r="P18" s="6">
        <v>0</v>
      </c>
      <c r="Q18" s="14" t="s">
        <v>80</v>
      </c>
    </row>
    <row r="19" spans="2:17" ht="14.25" customHeight="1" x14ac:dyDescent="0.3">
      <c r="B19" t="s">
        <v>81</v>
      </c>
      <c r="C19" t="s">
        <v>75</v>
      </c>
      <c r="D19" t="s">
        <v>82</v>
      </c>
      <c r="E19" t="s">
        <v>53</v>
      </c>
      <c r="F19" t="s">
        <v>61</v>
      </c>
      <c r="G19" s="6">
        <v>28000000</v>
      </c>
      <c r="H19" s="6">
        <v>28000000</v>
      </c>
      <c r="I19" t="s">
        <v>31</v>
      </c>
      <c r="J19" s="10">
        <v>6.7500000000000004E-2</v>
      </c>
      <c r="K19" t="s">
        <v>24</v>
      </c>
      <c r="L19" s="9">
        <v>46022</v>
      </c>
      <c r="M19" s="6">
        <v>0</v>
      </c>
      <c r="N19" t="s">
        <v>25</v>
      </c>
      <c r="O19" s="6">
        <v>472500</v>
      </c>
      <c r="P19" s="6">
        <v>0</v>
      </c>
      <c r="Q19" s="14" t="s">
        <v>83</v>
      </c>
    </row>
    <row r="20" spans="2:17" ht="14.25" customHeight="1" x14ac:dyDescent="0.3">
      <c r="B20" t="s">
        <v>84</v>
      </c>
      <c r="C20" t="s">
        <v>75</v>
      </c>
      <c r="D20" t="s">
        <v>85</v>
      </c>
      <c r="E20" t="s">
        <v>29</v>
      </c>
      <c r="F20" t="s">
        <v>30</v>
      </c>
      <c r="G20" s="6">
        <v>18000000</v>
      </c>
      <c r="H20" s="6">
        <v>18000000</v>
      </c>
      <c r="I20" t="s">
        <v>31</v>
      </c>
      <c r="J20" s="10">
        <v>7.4999999999999997E-2</v>
      </c>
      <c r="K20" t="s">
        <v>24</v>
      </c>
      <c r="L20" s="9">
        <v>46022</v>
      </c>
      <c r="M20" s="6">
        <v>0</v>
      </c>
      <c r="N20" t="s">
        <v>25</v>
      </c>
      <c r="O20" s="6">
        <v>337500</v>
      </c>
      <c r="P20" s="6">
        <v>0</v>
      </c>
      <c r="Q20" s="14" t="s">
        <v>86</v>
      </c>
    </row>
    <row r="21" spans="2:17" ht="14.25" customHeight="1" x14ac:dyDescent="0.3">
      <c r="B21" t="s">
        <v>87</v>
      </c>
      <c r="C21" t="s">
        <v>75</v>
      </c>
      <c r="D21" t="s">
        <v>88</v>
      </c>
      <c r="E21" t="s">
        <v>39</v>
      </c>
      <c r="F21" t="s">
        <v>30</v>
      </c>
      <c r="G21" s="6">
        <v>14000000</v>
      </c>
      <c r="H21" s="6">
        <v>14000000</v>
      </c>
      <c r="I21" t="s">
        <v>31</v>
      </c>
      <c r="J21" s="10">
        <v>0.10249999999999999</v>
      </c>
      <c r="K21" t="s">
        <v>24</v>
      </c>
      <c r="L21" s="9">
        <v>46022</v>
      </c>
      <c r="M21" s="6">
        <v>0</v>
      </c>
      <c r="N21" t="s">
        <v>25</v>
      </c>
      <c r="O21" s="6">
        <v>358750</v>
      </c>
      <c r="P21" s="6">
        <v>0</v>
      </c>
      <c r="Q21" s="14" t="s">
        <v>89</v>
      </c>
    </row>
    <row r="22" spans="2:17" ht="14.25" customHeight="1" x14ac:dyDescent="0.3">
      <c r="B22" t="s">
        <v>90</v>
      </c>
      <c r="C22" t="s">
        <v>75</v>
      </c>
      <c r="D22" t="s">
        <v>33</v>
      </c>
      <c r="E22" t="s">
        <v>34</v>
      </c>
      <c r="F22" t="s">
        <v>91</v>
      </c>
      <c r="G22" s="6">
        <v>40000000</v>
      </c>
      <c r="H22" s="6">
        <v>40000000</v>
      </c>
      <c r="I22" t="s">
        <v>31</v>
      </c>
      <c r="J22" s="10">
        <v>0.115</v>
      </c>
      <c r="K22" t="s">
        <v>24</v>
      </c>
      <c r="L22" s="9">
        <v>46022</v>
      </c>
      <c r="M22" s="6">
        <v>0</v>
      </c>
      <c r="N22" t="s">
        <v>25</v>
      </c>
      <c r="O22" s="6">
        <v>1150000</v>
      </c>
      <c r="P22" s="6">
        <v>0</v>
      </c>
      <c r="Q22" s="14" t="s">
        <v>92</v>
      </c>
    </row>
  </sheetData>
  <mergeCells count="1">
    <mergeCell ref="B2:D2"/>
  </mergeCells>
  <dataValidations disablePrompts="1" count="2">
    <dataValidation type="list" allowBlank="1" showInputMessage="1" showErrorMessage="1" sqref="C6:C22" xr:uid="{00000000-0002-0000-0000-000000000000}">
      <formula1>"Alpha,Beta,Both"</formula1>
      <formula2>0</formula2>
    </dataValidation>
    <dataValidation type="list" allowBlank="1" showInputMessage="1" showErrorMessage="1" sqref="N6:N22" xr:uid="{00000000-0002-0000-0000-000001000000}">
      <formula1>"Performing,Restructured,PIK,Delinquent"</formula1>
      <formula2>0</formula2>
    </dataValidation>
  </dataValidations>
  <pageMargins left="0.7" right="0.7" top="0.75" bottom="0.75" header="0.511811023622047" footer="0.511811023622047"/>
  <pageSetup paperSize="9" orientation="portrait" horizontalDpi="300" verticalDpi="300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D17"/>
  <sheetViews>
    <sheetView showGridLines="0" zoomScaleNormal="100" workbookViewId="0">
      <selection activeCell="B26" sqref="B26"/>
    </sheetView>
  </sheetViews>
  <sheetFormatPr defaultColWidth="8.6640625" defaultRowHeight="14.4" x14ac:dyDescent="0.3"/>
  <cols>
    <col min="1" max="1" width="1.88671875" customWidth="1"/>
    <col min="2" max="2" width="26.21875" customWidth="1"/>
    <col min="4" max="4" width="25.109375" customWidth="1"/>
  </cols>
  <sheetData>
    <row r="2" spans="2:4" ht="14.25" customHeight="1" x14ac:dyDescent="0.3">
      <c r="B2" s="4" t="s">
        <v>93</v>
      </c>
      <c r="C2" s="4"/>
      <c r="D2" s="4"/>
    </row>
    <row r="3" spans="2:4" ht="14.25" customHeight="1" x14ac:dyDescent="0.3">
      <c r="B3" s="3" t="s">
        <v>94</v>
      </c>
      <c r="C3" s="3"/>
      <c r="D3" s="3"/>
    </row>
    <row r="5" spans="2:4" ht="14.25" customHeight="1" x14ac:dyDescent="0.3">
      <c r="B5" s="11" t="s">
        <v>95</v>
      </c>
      <c r="D5">
        <f>SUM(Loan_Book!H6:H22)</f>
        <v>456475000</v>
      </c>
    </row>
    <row r="7" spans="2:4" ht="14.25" customHeight="1" x14ac:dyDescent="0.3">
      <c r="B7" s="11" t="s">
        <v>96</v>
      </c>
      <c r="D7">
        <f>SUM(Loan_Book!O6:O22)</f>
        <v>9967750</v>
      </c>
    </row>
    <row r="9" spans="2:4" ht="14.25" customHeight="1" x14ac:dyDescent="0.3">
      <c r="B9" s="11" t="s">
        <v>97</v>
      </c>
      <c r="D9">
        <f>Loan_Book!P15</f>
        <v>781250</v>
      </c>
    </row>
    <row r="11" spans="2:4" ht="14.25" customHeight="1" x14ac:dyDescent="0.3">
      <c r="B11" s="11" t="s">
        <v>98</v>
      </c>
      <c r="D11">
        <f>Loan_Book!G15</f>
        <v>1850000</v>
      </c>
    </row>
    <row r="13" spans="2:4" ht="14.25" customHeight="1" x14ac:dyDescent="0.3">
      <c r="B13" s="11" t="s">
        <v>99</v>
      </c>
    </row>
    <row r="14" spans="2:4" ht="14.25" customHeight="1" x14ac:dyDescent="0.3">
      <c r="B14" t="s">
        <v>100</v>
      </c>
      <c r="D14">
        <f>Loan_Book!G13</f>
        <v>25000000</v>
      </c>
    </row>
    <row r="15" spans="2:4" ht="14.25" customHeight="1" x14ac:dyDescent="0.3">
      <c r="B15" t="s">
        <v>101</v>
      </c>
      <c r="D15">
        <f>D14*0.475</f>
        <v>11875000</v>
      </c>
    </row>
    <row r="16" spans="2:4" ht="14.25" customHeight="1" x14ac:dyDescent="0.3">
      <c r="B16" s="12" t="s">
        <v>102</v>
      </c>
      <c r="C16" s="13"/>
      <c r="D16" s="13">
        <f>D14-D15</f>
        <v>13125000</v>
      </c>
    </row>
    <row r="17" spans="2:4" ht="14.25" customHeight="1" x14ac:dyDescent="0.3">
      <c r="B17" s="14" t="s">
        <v>103</v>
      </c>
      <c r="D17" s="7" t="s">
        <v>104</v>
      </c>
    </row>
  </sheetData>
  <mergeCells count="2">
    <mergeCell ref="B2:D2"/>
    <mergeCell ref="B3:D3"/>
  </mergeCells>
  <pageMargins left="0.7" right="0.7" top="0.75" bottom="0.75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D12"/>
  <sheetViews>
    <sheetView showGridLines="0" zoomScaleNormal="100" workbookViewId="0">
      <selection activeCell="D21" sqref="D21"/>
    </sheetView>
  </sheetViews>
  <sheetFormatPr defaultColWidth="8.6640625" defaultRowHeight="14.4" x14ac:dyDescent="0.3"/>
  <cols>
    <col min="1" max="1" width="1.88671875" customWidth="1"/>
    <col min="2" max="2" width="24.88671875" customWidth="1"/>
    <col min="3" max="3" width="32.44140625" customWidth="1"/>
    <col min="4" max="4" width="44.109375" customWidth="1"/>
  </cols>
  <sheetData>
    <row r="2" spans="2:4" ht="14.25" customHeight="1" x14ac:dyDescent="0.3">
      <c r="B2" s="15" t="s">
        <v>105</v>
      </c>
      <c r="C2" s="59" t="s">
        <v>106</v>
      </c>
      <c r="D2" s="59" t="s">
        <v>107</v>
      </c>
    </row>
    <row r="3" spans="2:4" ht="14.25" customHeight="1" x14ac:dyDescent="0.3">
      <c r="B3" t="s">
        <v>108</v>
      </c>
      <c r="C3" s="7" t="s">
        <v>19</v>
      </c>
      <c r="D3" s="7" t="s">
        <v>109</v>
      </c>
    </row>
    <row r="4" spans="2:4" ht="14.25" customHeight="1" x14ac:dyDescent="0.3">
      <c r="B4" t="s">
        <v>110</v>
      </c>
      <c r="C4" s="16">
        <v>25000000</v>
      </c>
      <c r="D4" s="7" t="s">
        <v>109</v>
      </c>
    </row>
    <row r="5" spans="2:4" ht="14.25" customHeight="1" x14ac:dyDescent="0.3">
      <c r="B5" t="s">
        <v>111</v>
      </c>
      <c r="C5" s="7" t="s">
        <v>112</v>
      </c>
      <c r="D5" s="7" t="s">
        <v>113</v>
      </c>
    </row>
    <row r="6" spans="2:4" ht="14.25" customHeight="1" x14ac:dyDescent="0.3">
      <c r="B6" t="s">
        <v>114</v>
      </c>
      <c r="C6" s="16" t="s">
        <v>115</v>
      </c>
      <c r="D6" s="7" t="s">
        <v>116</v>
      </c>
    </row>
    <row r="7" spans="2:4" ht="14.25" customHeight="1" x14ac:dyDescent="0.3">
      <c r="B7" t="s">
        <v>117</v>
      </c>
      <c r="C7" s="16">
        <v>1687500</v>
      </c>
      <c r="D7" s="7" t="s">
        <v>118</v>
      </c>
    </row>
    <row r="8" spans="2:4" ht="14.25" customHeight="1" x14ac:dyDescent="0.3">
      <c r="B8" t="s">
        <v>119</v>
      </c>
      <c r="C8" s="7" t="s">
        <v>120</v>
      </c>
      <c r="D8" s="7" t="s">
        <v>121</v>
      </c>
    </row>
    <row r="9" spans="2:4" ht="14.25" customHeight="1" x14ac:dyDescent="0.3">
      <c r="B9" t="s">
        <v>122</v>
      </c>
      <c r="C9" s="16">
        <v>42.25</v>
      </c>
      <c r="D9" s="7" t="s">
        <v>123</v>
      </c>
    </row>
    <row r="10" spans="2:4" ht="14.25" customHeight="1" x14ac:dyDescent="0.3">
      <c r="B10" t="s">
        <v>124</v>
      </c>
      <c r="C10" s="16">
        <v>14437500</v>
      </c>
      <c r="D10" s="7" t="s">
        <v>125</v>
      </c>
    </row>
    <row r="11" spans="2:4" ht="14.25" customHeight="1" x14ac:dyDescent="0.3">
      <c r="B11" t="s">
        <v>126</v>
      </c>
      <c r="C11" s="17">
        <v>45928</v>
      </c>
      <c r="D11" s="7" t="s">
        <v>127</v>
      </c>
    </row>
    <row r="12" spans="2:4" ht="14.25" customHeight="1" x14ac:dyDescent="0.3">
      <c r="B12" t="s">
        <v>128</v>
      </c>
      <c r="C12" s="7" t="s">
        <v>129</v>
      </c>
      <c r="D12" s="7" t="s">
        <v>130</v>
      </c>
    </row>
  </sheetData>
  <pageMargins left="0.7" right="0.7" top="0.75" bottom="0.75" header="0.511811023622047" footer="0.511811023622047"/>
  <pageSetup paperSize="9" orientation="portrait" horizontalDpi="300" verticalDpi="300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2:K9"/>
  <sheetViews>
    <sheetView showGridLines="0" zoomScaleNormal="100" workbookViewId="0">
      <selection activeCell="K25" sqref="K25"/>
    </sheetView>
  </sheetViews>
  <sheetFormatPr defaultColWidth="8.6640625" defaultRowHeight="14.4" x14ac:dyDescent="0.3"/>
  <cols>
    <col min="1" max="1" width="1.88671875" customWidth="1"/>
    <col min="2" max="2" width="42.21875" bestFit="1" customWidth="1"/>
    <col min="3" max="3" width="14.6640625" customWidth="1"/>
    <col min="4" max="4" width="28.6640625" customWidth="1"/>
    <col min="5" max="5" width="15.5546875" customWidth="1"/>
    <col min="6" max="6" width="16.33203125" customWidth="1"/>
    <col min="7" max="7" width="14.88671875" customWidth="1"/>
    <col min="8" max="8" width="12.5546875" customWidth="1"/>
    <col min="9" max="9" width="8.109375" customWidth="1"/>
    <col min="10" max="10" width="18.44140625" customWidth="1"/>
    <col min="11" max="11" width="67.88671875" customWidth="1"/>
  </cols>
  <sheetData>
    <row r="2" spans="2:11" ht="14.25" customHeight="1" x14ac:dyDescent="0.3">
      <c r="B2" s="59" t="s">
        <v>131</v>
      </c>
      <c r="C2" s="59" t="s">
        <v>132</v>
      </c>
      <c r="D2" s="59" t="s">
        <v>133</v>
      </c>
      <c r="E2" s="59" t="s">
        <v>110</v>
      </c>
      <c r="F2" s="59" t="s">
        <v>134</v>
      </c>
      <c r="G2" s="59" t="s">
        <v>135</v>
      </c>
      <c r="H2" s="59" t="s">
        <v>136</v>
      </c>
      <c r="I2" s="59" t="s">
        <v>13</v>
      </c>
      <c r="J2" s="59" t="s">
        <v>137</v>
      </c>
      <c r="K2" s="59" t="s">
        <v>138</v>
      </c>
    </row>
    <row r="3" spans="2:11" ht="14.25" customHeight="1" x14ac:dyDescent="0.3">
      <c r="B3" t="s">
        <v>139</v>
      </c>
      <c r="C3" t="s">
        <v>140</v>
      </c>
      <c r="D3" t="s">
        <v>141</v>
      </c>
      <c r="E3" s="16" t="s">
        <v>142</v>
      </c>
      <c r="F3" t="s">
        <v>143</v>
      </c>
      <c r="G3" s="6">
        <v>1.36</v>
      </c>
      <c r="H3" s="17">
        <v>46022</v>
      </c>
      <c r="I3" s="7" t="s">
        <v>144</v>
      </c>
      <c r="J3" s="6">
        <v>-2273600</v>
      </c>
      <c r="K3" s="7" t="s">
        <v>145</v>
      </c>
    </row>
    <row r="4" spans="2:11" ht="14.25" customHeight="1" x14ac:dyDescent="0.3">
      <c r="B4" t="s">
        <v>146</v>
      </c>
      <c r="C4" t="s">
        <v>147</v>
      </c>
      <c r="D4" t="s">
        <v>148</v>
      </c>
      <c r="E4" s="16" t="s">
        <v>149</v>
      </c>
      <c r="F4" t="s">
        <v>150</v>
      </c>
      <c r="G4" s="6">
        <v>152</v>
      </c>
      <c r="H4" s="17">
        <v>46022</v>
      </c>
      <c r="I4" s="7" t="s">
        <v>144</v>
      </c>
      <c r="J4" s="6">
        <v>-493860</v>
      </c>
      <c r="K4" s="7" t="s">
        <v>151</v>
      </c>
    </row>
    <row r="5" spans="2:11" ht="14.25" customHeight="1" x14ac:dyDescent="0.3">
      <c r="B5" t="s">
        <v>152</v>
      </c>
      <c r="C5" t="s">
        <v>153</v>
      </c>
      <c r="D5" t="s">
        <v>154</v>
      </c>
      <c r="E5" s="16" t="s">
        <v>155</v>
      </c>
      <c r="F5" t="s">
        <v>156</v>
      </c>
      <c r="G5" s="6">
        <v>1.085</v>
      </c>
      <c r="H5" s="17">
        <v>46112</v>
      </c>
      <c r="I5" s="7" t="s">
        <v>157</v>
      </c>
      <c r="J5" s="6">
        <v>0</v>
      </c>
      <c r="K5" s="7" t="s">
        <v>158</v>
      </c>
    </row>
    <row r="7" spans="2:11" ht="14.25" customHeight="1" x14ac:dyDescent="0.3">
      <c r="B7" s="18" t="s">
        <v>159</v>
      </c>
    </row>
    <row r="8" spans="2:11" ht="14.25" customHeight="1" x14ac:dyDescent="0.3">
      <c r="B8" t="s">
        <v>160</v>
      </c>
      <c r="C8" s="84">
        <v>2150000</v>
      </c>
      <c r="D8" t="s">
        <v>161</v>
      </c>
    </row>
    <row r="9" spans="2:11" ht="14.25" customHeight="1" x14ac:dyDescent="0.3">
      <c r="B9" t="s">
        <v>162</v>
      </c>
      <c r="C9" s="71">
        <f>SUMIF(Loan_Book!D6:D22,"Haruki Anime Studios KK",Loan_Book!H6:H22)</f>
        <v>18000000</v>
      </c>
      <c r="D9" t="s">
        <v>163</v>
      </c>
    </row>
  </sheetData>
  <pageMargins left="0.7" right="0.7" top="0.75" bottom="0.75" header="0.511811023622047" footer="0.511811023622047"/>
  <pageSetup paperSize="9" orientation="portrait" horizontalDpi="300" verticalDpi="300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2:D15"/>
  <sheetViews>
    <sheetView showGridLines="0" zoomScaleNormal="100" workbookViewId="0">
      <selection activeCell="C23" sqref="C23"/>
    </sheetView>
  </sheetViews>
  <sheetFormatPr defaultColWidth="8.6640625" defaultRowHeight="14.4" x14ac:dyDescent="0.3"/>
  <cols>
    <col min="1" max="1" width="1.88671875" customWidth="1"/>
    <col min="2" max="2" width="39.33203125" customWidth="1"/>
    <col min="3" max="3" width="44.44140625" customWidth="1"/>
    <col min="4" max="4" width="50.33203125" bestFit="1" customWidth="1"/>
  </cols>
  <sheetData>
    <row r="2" spans="2:4" ht="14.25" customHeight="1" x14ac:dyDescent="0.3">
      <c r="B2" s="15" t="s">
        <v>105</v>
      </c>
      <c r="C2" s="59" t="s">
        <v>106</v>
      </c>
      <c r="D2" s="59" t="s">
        <v>107</v>
      </c>
    </row>
    <row r="3" spans="2:4" ht="14.25" customHeight="1" x14ac:dyDescent="0.3">
      <c r="B3" t="s">
        <v>164</v>
      </c>
      <c r="C3" s="16">
        <v>250000000</v>
      </c>
      <c r="D3" s="7" t="s">
        <v>165</v>
      </c>
    </row>
    <row r="4" spans="2:4" ht="14.25" customHeight="1" x14ac:dyDescent="0.3">
      <c r="B4" t="s">
        <v>166</v>
      </c>
      <c r="C4" s="17">
        <v>45350</v>
      </c>
      <c r="D4" s="7" t="s">
        <v>165</v>
      </c>
    </row>
    <row r="5" spans="2:4" ht="14.25" customHeight="1" x14ac:dyDescent="0.3">
      <c r="B5" t="s">
        <v>167</v>
      </c>
      <c r="C5" s="17">
        <v>45355</v>
      </c>
      <c r="D5" s="7" t="s">
        <v>165</v>
      </c>
    </row>
    <row r="6" spans="2:4" ht="14.25" customHeight="1" x14ac:dyDescent="0.3">
      <c r="B6" t="s">
        <v>168</v>
      </c>
      <c r="C6" s="17">
        <v>46450</v>
      </c>
      <c r="D6" s="7" t="s">
        <v>165</v>
      </c>
    </row>
    <row r="7" spans="2:4" ht="14.25" customHeight="1" x14ac:dyDescent="0.3">
      <c r="B7" t="s">
        <v>169</v>
      </c>
      <c r="C7" s="10">
        <v>4.4249999999999998E-2</v>
      </c>
      <c r="D7" s="7" t="s">
        <v>165</v>
      </c>
    </row>
    <row r="8" spans="2:4" ht="14.25" customHeight="1" x14ac:dyDescent="0.3">
      <c r="B8" t="s">
        <v>170</v>
      </c>
      <c r="C8" s="7" t="s">
        <v>171</v>
      </c>
      <c r="D8" s="7" t="s">
        <v>172</v>
      </c>
    </row>
    <row r="9" spans="2:4" ht="14.25" customHeight="1" x14ac:dyDescent="0.3">
      <c r="B9" t="s">
        <v>173</v>
      </c>
      <c r="C9" s="16" t="s">
        <v>174</v>
      </c>
      <c r="D9" s="7" t="s">
        <v>175</v>
      </c>
    </row>
    <row r="10" spans="2:4" ht="14.25" customHeight="1" x14ac:dyDescent="0.3">
      <c r="B10" t="s">
        <v>176</v>
      </c>
      <c r="C10" s="85">
        <v>14.712999999999999</v>
      </c>
      <c r="D10" s="7" t="s">
        <v>177</v>
      </c>
    </row>
    <row r="11" spans="2:4" ht="14.25" customHeight="1" x14ac:dyDescent="0.3">
      <c r="B11" t="s">
        <v>178</v>
      </c>
      <c r="C11" s="16">
        <v>-3842000</v>
      </c>
      <c r="D11" s="7" t="s">
        <v>179</v>
      </c>
    </row>
    <row r="12" spans="2:4" ht="14.25" customHeight="1" x14ac:dyDescent="0.3">
      <c r="B12" t="s">
        <v>180</v>
      </c>
      <c r="C12" s="7" t="s">
        <v>181</v>
      </c>
      <c r="D12" s="7" t="s">
        <v>182</v>
      </c>
    </row>
    <row r="13" spans="2:4" ht="14.25" customHeight="1" x14ac:dyDescent="0.3">
      <c r="B13" t="s">
        <v>183</v>
      </c>
      <c r="C13" s="7" t="s">
        <v>184</v>
      </c>
      <c r="D13" s="7" t="s">
        <v>185</v>
      </c>
    </row>
    <row r="14" spans="2:4" ht="14.25" customHeight="1" x14ac:dyDescent="0.3">
      <c r="B14" t="s">
        <v>186</v>
      </c>
      <c r="C14" s="7" t="s">
        <v>187</v>
      </c>
      <c r="D14" s="7" t="s">
        <v>188</v>
      </c>
    </row>
    <row r="15" spans="2:4" ht="14.25" customHeight="1" x14ac:dyDescent="0.3">
      <c r="B15" t="s">
        <v>189</v>
      </c>
      <c r="C15" s="19">
        <f>C3*C10/10000</f>
        <v>367825</v>
      </c>
      <c r="D15" s="7" t="s">
        <v>190</v>
      </c>
    </row>
  </sheetData>
  <pageMargins left="0.7" right="0.7" top="0.75" bottom="0.75" header="0.511811023622047" footer="0.511811023622047"/>
  <pageSetup paperSize="9" orientation="portrait" horizontalDpi="300" verticalDpi="300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2:F11"/>
  <sheetViews>
    <sheetView showGridLines="0" zoomScaleNormal="100" workbookViewId="0">
      <selection activeCell="F23" sqref="F23"/>
    </sheetView>
  </sheetViews>
  <sheetFormatPr defaultColWidth="8.6640625" defaultRowHeight="14.4" x14ac:dyDescent="0.3"/>
  <cols>
    <col min="1" max="1" width="1.88671875" customWidth="1"/>
    <col min="2" max="2" width="19.6640625" customWidth="1"/>
    <col min="3" max="3" width="17.6640625" customWidth="1"/>
    <col min="4" max="4" width="24.21875" customWidth="1"/>
    <col min="5" max="5" width="8.109375" customWidth="1"/>
    <col min="6" max="6" width="60.21875" customWidth="1"/>
  </cols>
  <sheetData>
    <row r="2" spans="2:6" ht="14.25" customHeight="1" x14ac:dyDescent="0.3">
      <c r="B2" s="15" t="s">
        <v>191</v>
      </c>
      <c r="C2" s="15" t="s">
        <v>192</v>
      </c>
      <c r="D2" s="15" t="s">
        <v>193</v>
      </c>
      <c r="E2" s="5" t="s">
        <v>13</v>
      </c>
      <c r="F2" s="59" t="s">
        <v>138</v>
      </c>
    </row>
    <row r="3" spans="2:6" ht="14.25" customHeight="1" x14ac:dyDescent="0.3">
      <c r="B3" t="s">
        <v>194</v>
      </c>
      <c r="C3" t="s">
        <v>195</v>
      </c>
      <c r="D3" s="20">
        <v>-3842000</v>
      </c>
      <c r="E3" s="7" t="s">
        <v>157</v>
      </c>
      <c r="F3" s="7" t="s">
        <v>196</v>
      </c>
    </row>
    <row r="4" spans="2:6" ht="14.25" customHeight="1" x14ac:dyDescent="0.3">
      <c r="B4" t="s">
        <v>197</v>
      </c>
      <c r="C4" t="s">
        <v>198</v>
      </c>
      <c r="D4" s="20">
        <v>0</v>
      </c>
      <c r="E4" s="7" t="s">
        <v>199</v>
      </c>
      <c r="F4" s="7" t="s">
        <v>200</v>
      </c>
    </row>
    <row r="5" spans="2:6" ht="14.25" customHeight="1" x14ac:dyDescent="0.3">
      <c r="B5" t="s">
        <v>201</v>
      </c>
      <c r="C5" t="s">
        <v>202</v>
      </c>
      <c r="D5" s="20">
        <v>1245000</v>
      </c>
      <c r="E5" s="7" t="s">
        <v>157</v>
      </c>
      <c r="F5" s="7" t="s">
        <v>203</v>
      </c>
    </row>
    <row r="6" spans="2:6" ht="14.25" customHeight="1" x14ac:dyDescent="0.3">
      <c r="B6" t="s">
        <v>204</v>
      </c>
      <c r="C6" t="s">
        <v>205</v>
      </c>
      <c r="D6" s="20">
        <v>-720000</v>
      </c>
      <c r="E6" s="7" t="s">
        <v>157</v>
      </c>
      <c r="F6" s="7" t="s">
        <v>206</v>
      </c>
    </row>
    <row r="7" spans="2:6" ht="14.25" customHeight="1" x14ac:dyDescent="0.3">
      <c r="B7" t="s">
        <v>207</v>
      </c>
      <c r="C7" t="s">
        <v>152</v>
      </c>
      <c r="D7" s="20">
        <v>-92625</v>
      </c>
      <c r="E7" s="7" t="s">
        <v>157</v>
      </c>
      <c r="F7" s="7" t="s">
        <v>208</v>
      </c>
    </row>
    <row r="8" spans="2:6" ht="14.25" customHeight="1" x14ac:dyDescent="0.3">
      <c r="B8" t="s">
        <v>209</v>
      </c>
      <c r="C8" t="s">
        <v>210</v>
      </c>
      <c r="D8" s="20">
        <v>60500</v>
      </c>
      <c r="E8" s="7" t="s">
        <v>157</v>
      </c>
      <c r="F8" s="7" t="s">
        <v>211</v>
      </c>
    </row>
    <row r="9" spans="2:6" ht="14.25" customHeight="1" x14ac:dyDescent="0.3">
      <c r="B9" t="s">
        <v>212</v>
      </c>
      <c r="C9" t="s">
        <v>213</v>
      </c>
      <c r="D9" s="20">
        <v>52058</v>
      </c>
      <c r="E9" s="7" t="s">
        <v>157</v>
      </c>
      <c r="F9" s="7" t="s">
        <v>214</v>
      </c>
    </row>
    <row r="10" spans="2:6" ht="14.25" customHeight="1" x14ac:dyDescent="0.3">
      <c r="B10" t="s">
        <v>215</v>
      </c>
      <c r="C10" t="s">
        <v>216</v>
      </c>
      <c r="D10">
        <f>SUM(D3:D9)</f>
        <v>-3297067</v>
      </c>
      <c r="E10" s="7" t="s">
        <v>216</v>
      </c>
      <c r="F10" s="7" t="s">
        <v>217</v>
      </c>
    </row>
    <row r="11" spans="2:6" ht="14.25" customHeight="1" x14ac:dyDescent="0.3">
      <c r="B11" t="s">
        <v>218</v>
      </c>
      <c r="C11" t="s">
        <v>216</v>
      </c>
      <c r="D11" s="20">
        <v>6800000</v>
      </c>
      <c r="E11" s="7" t="s">
        <v>216</v>
      </c>
      <c r="F11" s="7" t="s">
        <v>219</v>
      </c>
    </row>
  </sheetData>
  <pageMargins left="0.7" right="0.7" top="0.75" bottom="0.75" header="0.511811023622047" footer="0.511811023622047"/>
  <pageSetup paperSize="9" orientation="portrait" horizontalDpi="300" verticalDpi="300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2:E7"/>
  <sheetViews>
    <sheetView showGridLines="0" zoomScaleNormal="100" workbookViewId="0">
      <selection activeCell="E2" sqref="E2"/>
    </sheetView>
  </sheetViews>
  <sheetFormatPr defaultColWidth="8.6640625" defaultRowHeight="14.4" x14ac:dyDescent="0.3"/>
  <cols>
    <col min="1" max="1" width="1.88671875" customWidth="1"/>
    <col min="2" max="2" width="31.88671875" customWidth="1"/>
    <col min="3" max="3" width="42.77734375" customWidth="1"/>
    <col min="4" max="4" width="14.33203125" customWidth="1"/>
    <col min="5" max="5" width="28.77734375" customWidth="1"/>
  </cols>
  <sheetData>
    <row r="2" spans="2:5" ht="14.25" customHeight="1" x14ac:dyDescent="0.3">
      <c r="B2" s="15" t="s">
        <v>220</v>
      </c>
      <c r="C2" s="15" t="s">
        <v>221</v>
      </c>
      <c r="D2" s="5" t="s">
        <v>222</v>
      </c>
      <c r="E2" s="59" t="s">
        <v>138</v>
      </c>
    </row>
    <row r="3" spans="2:5" ht="14.25" customHeight="1" x14ac:dyDescent="0.3">
      <c r="B3" t="s">
        <v>223</v>
      </c>
      <c r="C3" t="s">
        <v>224</v>
      </c>
      <c r="D3" s="16">
        <v>243000</v>
      </c>
      <c r="E3" s="7" t="s">
        <v>225</v>
      </c>
    </row>
    <row r="4" spans="2:5" ht="14.25" customHeight="1" x14ac:dyDescent="0.3">
      <c r="B4" t="s">
        <v>226</v>
      </c>
      <c r="C4" t="s">
        <v>227</v>
      </c>
      <c r="D4" s="21">
        <v>10500</v>
      </c>
      <c r="E4" s="7" t="s">
        <v>228</v>
      </c>
    </row>
    <row r="5" spans="2:5" ht="14.25" customHeight="1" x14ac:dyDescent="0.3">
      <c r="B5" t="s">
        <v>229</v>
      </c>
      <c r="C5" t="s">
        <v>230</v>
      </c>
      <c r="D5" s="16">
        <v>-158500</v>
      </c>
      <c r="E5" s="7" t="s">
        <v>231</v>
      </c>
    </row>
    <row r="6" spans="2:5" ht="14.25" customHeight="1" x14ac:dyDescent="0.3">
      <c r="B6" t="s">
        <v>232</v>
      </c>
      <c r="C6" t="s">
        <v>233</v>
      </c>
      <c r="D6" s="21">
        <v>65442</v>
      </c>
      <c r="E6" s="7" t="s">
        <v>234</v>
      </c>
    </row>
    <row r="7" spans="2:5" ht="14.25" customHeight="1" x14ac:dyDescent="0.3">
      <c r="B7" t="s">
        <v>235</v>
      </c>
      <c r="C7" t="s">
        <v>236</v>
      </c>
      <c r="D7" s="21">
        <v>117500</v>
      </c>
      <c r="E7" s="7" t="s">
        <v>237</v>
      </c>
    </row>
  </sheetData>
  <pageMargins left="0.7" right="0.7" top="0.75" bottom="0.75" header="0.511811023622047" footer="0.511811023622047"/>
  <pageSetup paperSize="9" orientation="portrait" horizontalDpi="300" verticalDpi="300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2:I10"/>
  <sheetViews>
    <sheetView showGridLines="0" zoomScaleNormal="100" workbookViewId="0">
      <selection activeCell="F24" sqref="F24"/>
    </sheetView>
  </sheetViews>
  <sheetFormatPr defaultColWidth="8.6640625" defaultRowHeight="14.4" x14ac:dyDescent="0.3"/>
  <cols>
    <col min="1" max="1" width="1.88671875" customWidth="1"/>
    <col min="2" max="2" width="23.33203125" customWidth="1"/>
    <col min="3" max="3" width="15.88671875" customWidth="1"/>
    <col min="4" max="4" width="25" customWidth="1"/>
    <col min="5" max="5" width="20.21875" customWidth="1"/>
    <col min="6" max="6" width="22.88671875" customWidth="1"/>
    <col min="7" max="7" width="18.109375" customWidth="1"/>
    <col min="8" max="8" width="21.33203125" customWidth="1"/>
    <col min="9" max="9" width="46.6640625" customWidth="1"/>
  </cols>
  <sheetData>
    <row r="2" spans="2:9" ht="14.25" customHeight="1" x14ac:dyDescent="0.3">
      <c r="B2" s="5" t="s">
        <v>238</v>
      </c>
      <c r="C2" s="5" t="s">
        <v>239</v>
      </c>
      <c r="D2" s="5" t="s">
        <v>221</v>
      </c>
      <c r="E2" s="5" t="s">
        <v>240</v>
      </c>
      <c r="F2" s="5" t="s">
        <v>241</v>
      </c>
      <c r="G2" s="5" t="s">
        <v>242</v>
      </c>
      <c r="H2" s="59" t="s">
        <v>243</v>
      </c>
      <c r="I2" s="59" t="s">
        <v>138</v>
      </c>
    </row>
    <row r="3" spans="2:9" ht="14.25" customHeight="1" x14ac:dyDescent="0.3">
      <c r="B3" t="s">
        <v>244</v>
      </c>
      <c r="C3" t="s">
        <v>245</v>
      </c>
      <c r="D3" t="s">
        <v>246</v>
      </c>
      <c r="E3" t="s">
        <v>48</v>
      </c>
      <c r="F3" s="16">
        <v>142000</v>
      </c>
      <c r="G3" s="6">
        <v>1704000</v>
      </c>
      <c r="H3" s="7" t="s">
        <v>247</v>
      </c>
      <c r="I3" s="7" t="s">
        <v>248</v>
      </c>
    </row>
    <row r="4" spans="2:9" ht="14.25" customHeight="1" x14ac:dyDescent="0.3">
      <c r="B4" t="s">
        <v>249</v>
      </c>
      <c r="C4" t="s">
        <v>245</v>
      </c>
      <c r="D4" t="s">
        <v>250</v>
      </c>
      <c r="E4" t="s">
        <v>48</v>
      </c>
      <c r="F4" s="16">
        <v>88000</v>
      </c>
      <c r="G4" s="6">
        <v>1056000</v>
      </c>
      <c r="H4" s="7" t="s">
        <v>247</v>
      </c>
      <c r="I4" s="7"/>
    </row>
    <row r="5" spans="2:9" ht="14.25" customHeight="1" x14ac:dyDescent="0.3">
      <c r="B5" t="s">
        <v>251</v>
      </c>
      <c r="C5" t="s">
        <v>252</v>
      </c>
      <c r="D5" t="s">
        <v>253</v>
      </c>
      <c r="E5" t="s">
        <v>48</v>
      </c>
      <c r="F5" s="16">
        <v>215000</v>
      </c>
      <c r="G5" s="6">
        <v>2580000</v>
      </c>
      <c r="H5" s="7" t="s">
        <v>247</v>
      </c>
      <c r="I5" s="7"/>
    </row>
    <row r="6" spans="2:9" ht="14.25" customHeight="1" x14ac:dyDescent="0.3">
      <c r="B6" t="s">
        <v>254</v>
      </c>
      <c r="C6" t="s">
        <v>255</v>
      </c>
      <c r="D6" t="s">
        <v>256</v>
      </c>
      <c r="E6" t="s">
        <v>24</v>
      </c>
      <c r="F6" s="16">
        <v>450000</v>
      </c>
      <c r="G6" s="6">
        <v>1800000</v>
      </c>
      <c r="H6" s="7" t="s">
        <v>257</v>
      </c>
      <c r="I6" s="7" t="s">
        <v>258</v>
      </c>
    </row>
    <row r="7" spans="2:9" ht="14.25" customHeight="1" x14ac:dyDescent="0.3">
      <c r="B7" t="s">
        <v>259</v>
      </c>
      <c r="C7" t="s">
        <v>255</v>
      </c>
      <c r="D7" t="s">
        <v>260</v>
      </c>
      <c r="E7" t="s">
        <v>24</v>
      </c>
      <c r="F7" s="16">
        <v>85000</v>
      </c>
      <c r="G7" s="6">
        <v>340000</v>
      </c>
      <c r="H7" s="7" t="s">
        <v>247</v>
      </c>
      <c r="I7" s="7" t="s">
        <v>261</v>
      </c>
    </row>
    <row r="8" spans="2:9" ht="14.25" customHeight="1" x14ac:dyDescent="0.3">
      <c r="B8" t="s">
        <v>262</v>
      </c>
      <c r="C8" t="s">
        <v>255</v>
      </c>
      <c r="D8" t="s">
        <v>263</v>
      </c>
      <c r="E8" t="s">
        <v>24</v>
      </c>
      <c r="F8" s="16">
        <v>207205</v>
      </c>
      <c r="G8" s="6">
        <v>828820</v>
      </c>
      <c r="H8" s="7" t="s">
        <v>247</v>
      </c>
      <c r="I8" s="7" t="s">
        <v>264</v>
      </c>
    </row>
    <row r="9" spans="2:9" ht="14.25" customHeight="1" x14ac:dyDescent="0.3">
      <c r="B9" t="s">
        <v>265</v>
      </c>
      <c r="C9" t="s">
        <v>266</v>
      </c>
      <c r="D9" t="s">
        <v>267</v>
      </c>
      <c r="E9" t="s">
        <v>268</v>
      </c>
      <c r="F9">
        <f>G9</f>
        <v>8308820</v>
      </c>
      <c r="G9">
        <f>SUM(G3:G8)</f>
        <v>8308820</v>
      </c>
      <c r="H9" s="7" t="s">
        <v>269</v>
      </c>
      <c r="I9" s="7" t="s">
        <v>270</v>
      </c>
    </row>
    <row r="10" spans="2:9" ht="14.25" customHeight="1" x14ac:dyDescent="0.3">
      <c r="B10" t="s">
        <v>271</v>
      </c>
      <c r="C10" t="s">
        <v>255</v>
      </c>
      <c r="D10" t="s">
        <v>272</v>
      </c>
      <c r="E10" t="s">
        <v>268</v>
      </c>
      <c r="F10" s="7">
        <f>F6*4</f>
        <v>1800000</v>
      </c>
      <c r="G10">
        <f>F10</f>
        <v>1800000</v>
      </c>
      <c r="H10" s="7" t="s">
        <v>257</v>
      </c>
      <c r="I10" s="7" t="s">
        <v>273</v>
      </c>
    </row>
  </sheetData>
  <pageMargins left="0.7" right="0.7" top="0.75" bottom="0.75" header="0.511811023622047" footer="0.511811023622047"/>
  <pageSetup paperSize="9" orientation="portrait" horizontalDpi="300" verticalDpi="300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B2:G23"/>
  <sheetViews>
    <sheetView showGridLines="0" zoomScaleNormal="100" workbookViewId="0">
      <selection activeCell="K18" sqref="K18"/>
    </sheetView>
  </sheetViews>
  <sheetFormatPr defaultColWidth="8.6640625" defaultRowHeight="14.4" x14ac:dyDescent="0.3"/>
  <cols>
    <col min="1" max="1" width="1.88671875" customWidth="1"/>
    <col min="2" max="2" width="23.44140625" customWidth="1"/>
    <col min="3" max="3" width="26.77734375" customWidth="1"/>
    <col min="4" max="4" width="14.33203125" customWidth="1"/>
    <col min="5" max="5" width="10.44140625" customWidth="1"/>
    <col min="6" max="6" width="12.21875" customWidth="1"/>
    <col min="7" max="7" width="49.5546875" customWidth="1"/>
  </cols>
  <sheetData>
    <row r="2" spans="2:7" ht="14.25" customHeight="1" x14ac:dyDescent="0.3">
      <c r="B2" s="15" t="s">
        <v>220</v>
      </c>
      <c r="C2" s="15" t="s">
        <v>274</v>
      </c>
      <c r="D2" s="15" t="s">
        <v>222</v>
      </c>
      <c r="E2" s="5" t="s">
        <v>134</v>
      </c>
      <c r="F2" s="5" t="s">
        <v>275</v>
      </c>
      <c r="G2" s="59" t="s">
        <v>138</v>
      </c>
    </row>
    <row r="3" spans="2:7" ht="14.25" customHeight="1" x14ac:dyDescent="0.3">
      <c r="B3" t="s">
        <v>276</v>
      </c>
      <c r="C3" t="s">
        <v>277</v>
      </c>
      <c r="D3" s="22">
        <v>4000000</v>
      </c>
      <c r="E3" s="7" t="s">
        <v>278</v>
      </c>
      <c r="F3" s="7" t="s">
        <v>279</v>
      </c>
      <c r="G3" s="7" t="s">
        <v>280</v>
      </c>
    </row>
    <row r="4" spans="2:7" ht="14.25" customHeight="1" x14ac:dyDescent="0.3">
      <c r="B4" t="s">
        <v>276</v>
      </c>
      <c r="C4" t="s">
        <v>281</v>
      </c>
      <c r="D4" s="6">
        <v>127000</v>
      </c>
      <c r="E4" s="7" t="s">
        <v>278</v>
      </c>
      <c r="F4" s="7" t="s">
        <v>44</v>
      </c>
      <c r="G4" s="7"/>
    </row>
    <row r="5" spans="2:7" ht="14.25" customHeight="1" x14ac:dyDescent="0.3">
      <c r="B5" t="s">
        <v>282</v>
      </c>
      <c r="C5" t="s">
        <v>283</v>
      </c>
      <c r="D5" s="6">
        <v>0</v>
      </c>
      <c r="E5" s="7" t="s">
        <v>284</v>
      </c>
      <c r="F5" s="7" t="s">
        <v>55</v>
      </c>
      <c r="G5" s="7" t="s">
        <v>285</v>
      </c>
    </row>
    <row r="6" spans="2:7" ht="14.25" customHeight="1" x14ac:dyDescent="0.3">
      <c r="B6" t="s">
        <v>286</v>
      </c>
      <c r="C6" t="s">
        <v>287</v>
      </c>
      <c r="D6" s="6">
        <v>-5250000</v>
      </c>
      <c r="E6" s="7" t="s">
        <v>288</v>
      </c>
      <c r="F6" s="7" t="s">
        <v>289</v>
      </c>
      <c r="G6" s="7"/>
    </row>
    <row r="7" spans="2:7" ht="14.25" customHeight="1" x14ac:dyDescent="0.3">
      <c r="B7" t="s">
        <v>286</v>
      </c>
      <c r="C7" t="s">
        <v>290</v>
      </c>
      <c r="D7" s="6">
        <v>-93750</v>
      </c>
      <c r="E7" s="7" t="s">
        <v>288</v>
      </c>
      <c r="F7" s="7" t="s">
        <v>289</v>
      </c>
      <c r="G7" s="7"/>
    </row>
    <row r="8" spans="2:7" ht="14.25" customHeight="1" x14ac:dyDescent="0.3">
      <c r="B8" t="s">
        <v>286</v>
      </c>
      <c r="C8" t="s">
        <v>291</v>
      </c>
      <c r="D8" s="6">
        <v>-8250000</v>
      </c>
      <c r="E8" s="7" t="s">
        <v>288</v>
      </c>
      <c r="F8" s="7" t="s">
        <v>292</v>
      </c>
      <c r="G8" s="7"/>
    </row>
    <row r="9" spans="2:7" ht="14.25" customHeight="1" x14ac:dyDescent="0.3">
      <c r="B9" t="s">
        <v>293</v>
      </c>
      <c r="C9" t="s">
        <v>294</v>
      </c>
      <c r="D9" s="6">
        <v>-475000</v>
      </c>
      <c r="E9" s="7" t="s">
        <v>288</v>
      </c>
      <c r="F9" s="7" t="s">
        <v>295</v>
      </c>
      <c r="G9" s="7" t="s">
        <v>296</v>
      </c>
    </row>
    <row r="10" spans="2:7" ht="14.25" customHeight="1" x14ac:dyDescent="0.3">
      <c r="B10" t="s">
        <v>293</v>
      </c>
      <c r="C10" t="s">
        <v>297</v>
      </c>
      <c r="D10" s="6">
        <v>-27500</v>
      </c>
      <c r="E10" s="7" t="s">
        <v>288</v>
      </c>
      <c r="F10" s="7" t="s">
        <v>298</v>
      </c>
      <c r="G10" s="7" t="s">
        <v>299</v>
      </c>
    </row>
    <row r="11" spans="2:7" ht="14.25" customHeight="1" x14ac:dyDescent="0.3">
      <c r="B11" t="s">
        <v>293</v>
      </c>
      <c r="C11" t="s">
        <v>300</v>
      </c>
      <c r="D11" s="6">
        <v>14437500</v>
      </c>
      <c r="E11" s="7" t="s">
        <v>278</v>
      </c>
      <c r="F11" s="7" t="s">
        <v>301</v>
      </c>
      <c r="G11" s="7" t="s">
        <v>302</v>
      </c>
    </row>
    <row r="12" spans="2:7" ht="14.25" customHeight="1" x14ac:dyDescent="0.3">
      <c r="B12" t="s">
        <v>293</v>
      </c>
      <c r="C12" t="s">
        <v>303</v>
      </c>
      <c r="D12" s="6">
        <v>-96000</v>
      </c>
      <c r="E12" s="7" t="s">
        <v>288</v>
      </c>
      <c r="F12" s="7" t="s">
        <v>304</v>
      </c>
      <c r="G12" s="7" t="s">
        <v>305</v>
      </c>
    </row>
    <row r="13" spans="2:7" ht="14.25" customHeight="1" x14ac:dyDescent="0.3">
      <c r="B13" t="s">
        <v>293</v>
      </c>
      <c r="C13" t="s">
        <v>306</v>
      </c>
      <c r="D13" s="6">
        <v>-1262000</v>
      </c>
      <c r="E13" s="7" t="s">
        <v>288</v>
      </c>
      <c r="F13" s="7" t="s">
        <v>307</v>
      </c>
      <c r="G13" s="7" t="s">
        <v>308</v>
      </c>
    </row>
    <row r="14" spans="2:7" ht="14.25" customHeight="1" x14ac:dyDescent="0.3">
      <c r="B14" t="s">
        <v>309</v>
      </c>
      <c r="C14" t="s">
        <v>310</v>
      </c>
      <c r="D14" s="6">
        <v>-450000</v>
      </c>
      <c r="E14" s="7" t="s">
        <v>288</v>
      </c>
      <c r="F14" s="7" t="s">
        <v>311</v>
      </c>
      <c r="G14" s="7"/>
    </row>
    <row r="15" spans="2:7" ht="14.25" customHeight="1" x14ac:dyDescent="0.3">
      <c r="B15" t="s">
        <v>309</v>
      </c>
      <c r="C15" t="s">
        <v>312</v>
      </c>
      <c r="D15" s="6">
        <v>-230000</v>
      </c>
      <c r="E15" s="7" t="s">
        <v>288</v>
      </c>
      <c r="F15" s="7" t="s">
        <v>311</v>
      </c>
      <c r="G15" s="7"/>
    </row>
    <row r="16" spans="2:7" ht="14.25" customHeight="1" x14ac:dyDescent="0.3">
      <c r="B16" t="s">
        <v>309</v>
      </c>
      <c r="C16" t="s">
        <v>313</v>
      </c>
      <c r="D16" s="6">
        <v>-215000</v>
      </c>
      <c r="E16" s="7" t="s">
        <v>288</v>
      </c>
      <c r="F16" s="7" t="s">
        <v>311</v>
      </c>
      <c r="G16" s="7"/>
    </row>
    <row r="17" spans="2:7" ht="14.25" customHeight="1" x14ac:dyDescent="0.3">
      <c r="B17" t="s">
        <v>314</v>
      </c>
      <c r="C17" t="s">
        <v>315</v>
      </c>
      <c r="D17" s="6">
        <v>25000000</v>
      </c>
      <c r="E17" s="7" t="s">
        <v>278</v>
      </c>
      <c r="F17" s="7" t="s">
        <v>316</v>
      </c>
      <c r="G17" s="7"/>
    </row>
    <row r="18" spans="2:7" ht="14.25" customHeight="1" x14ac:dyDescent="0.3">
      <c r="B18" t="s">
        <v>314</v>
      </c>
      <c r="C18" t="s">
        <v>317</v>
      </c>
      <c r="D18" s="6">
        <v>-15000000</v>
      </c>
      <c r="E18" s="7" t="s">
        <v>288</v>
      </c>
      <c r="F18" s="7" t="s">
        <v>316</v>
      </c>
      <c r="G18" s="7"/>
    </row>
    <row r="19" spans="2:7" ht="14.25" customHeight="1" x14ac:dyDescent="0.3">
      <c r="B19" t="s">
        <v>314</v>
      </c>
      <c r="C19" t="s">
        <v>318</v>
      </c>
      <c r="D19" s="6">
        <v>-3200000</v>
      </c>
      <c r="E19" s="7" t="s">
        <v>288</v>
      </c>
      <c r="F19" s="7" t="s">
        <v>316</v>
      </c>
      <c r="G19" s="7" t="s">
        <v>319</v>
      </c>
    </row>
    <row r="20" spans="2:7" ht="14.25" customHeight="1" x14ac:dyDescent="0.3">
      <c r="B20" t="s">
        <v>320</v>
      </c>
      <c r="C20" t="s">
        <v>321</v>
      </c>
      <c r="D20" s="6">
        <v>-1900000</v>
      </c>
      <c r="E20" s="7" t="s">
        <v>288</v>
      </c>
      <c r="F20" s="7" t="s">
        <v>322</v>
      </c>
      <c r="G20" s="7" t="s">
        <v>323</v>
      </c>
    </row>
    <row r="21" spans="2:7" ht="14.25" customHeight="1" x14ac:dyDescent="0.3">
      <c r="B21" t="s">
        <v>320</v>
      </c>
      <c r="C21" t="s">
        <v>324</v>
      </c>
      <c r="D21" s="6">
        <v>-260000</v>
      </c>
      <c r="E21" s="7" t="s">
        <v>288</v>
      </c>
      <c r="F21" s="7" t="s">
        <v>325</v>
      </c>
      <c r="G21" s="7"/>
    </row>
    <row r="22" spans="2:7" ht="14.25" customHeight="1" x14ac:dyDescent="0.3">
      <c r="B22" t="s">
        <v>326</v>
      </c>
      <c r="C22" t="s">
        <v>327</v>
      </c>
      <c r="D22" s="6">
        <v>45000</v>
      </c>
      <c r="E22" s="7" t="s">
        <v>278</v>
      </c>
      <c r="F22" s="7" t="s">
        <v>328</v>
      </c>
      <c r="G22" s="7"/>
    </row>
    <row r="23" spans="2:7" ht="14.25" customHeight="1" x14ac:dyDescent="0.3">
      <c r="B23" t="s">
        <v>326</v>
      </c>
      <c r="C23" t="s">
        <v>329</v>
      </c>
      <c r="D23" s="6">
        <v>1195000</v>
      </c>
      <c r="E23" s="7" t="s">
        <v>278</v>
      </c>
      <c r="F23" s="7" t="s">
        <v>330</v>
      </c>
      <c r="G23" s="7" t="s">
        <v>331</v>
      </c>
    </row>
  </sheetData>
  <pageMargins left="0.7" right="0.7" top="0.75" bottom="0.75" header="0.511811023622047" footer="0.511811023622047"/>
  <pageSetup paperSize="9" orientation="portrait" horizontalDpi="300" verticalDpi="300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B2:F12"/>
  <sheetViews>
    <sheetView showGridLines="0" zoomScaleNormal="100" workbookViewId="0">
      <selection activeCell="F17" sqref="F17"/>
    </sheetView>
  </sheetViews>
  <sheetFormatPr defaultColWidth="8.6640625" defaultRowHeight="14.4" x14ac:dyDescent="0.3"/>
  <cols>
    <col min="1" max="1" width="1.88671875" customWidth="1"/>
    <col min="2" max="2" width="25.88671875" customWidth="1"/>
    <col min="3" max="3" width="19.33203125" customWidth="1"/>
    <col min="4" max="4" width="24.88671875" customWidth="1"/>
    <col min="5" max="5" width="10.88671875" customWidth="1"/>
    <col min="6" max="6" width="54" customWidth="1"/>
  </cols>
  <sheetData>
    <row r="2" spans="2:6" ht="14.25" customHeight="1" x14ac:dyDescent="0.3">
      <c r="B2" s="15" t="s">
        <v>332</v>
      </c>
      <c r="C2" s="5" t="s">
        <v>333</v>
      </c>
      <c r="D2" s="5" t="s">
        <v>334</v>
      </c>
      <c r="E2" s="5" t="s">
        <v>335</v>
      </c>
      <c r="F2" s="59" t="s">
        <v>336</v>
      </c>
    </row>
    <row r="3" spans="2:6" ht="14.25" customHeight="1" x14ac:dyDescent="0.3">
      <c r="B3" t="s">
        <v>337</v>
      </c>
      <c r="C3" s="16">
        <v>4127000</v>
      </c>
      <c r="D3" s="16">
        <v>4908625</v>
      </c>
      <c r="E3" s="16">
        <v>-781625</v>
      </c>
      <c r="F3" s="7" t="s">
        <v>338</v>
      </c>
    </row>
    <row r="4" spans="2:6" ht="14.25" customHeight="1" x14ac:dyDescent="0.3">
      <c r="B4" t="s">
        <v>339</v>
      </c>
      <c r="C4" s="16">
        <v>0</v>
      </c>
      <c r="D4" s="16">
        <v>-13125000</v>
      </c>
      <c r="E4" s="16">
        <v>13125000</v>
      </c>
      <c r="F4" s="7" t="s">
        <v>340</v>
      </c>
    </row>
    <row r="5" spans="2:6" ht="14.25" customHeight="1" x14ac:dyDescent="0.3">
      <c r="B5" t="s">
        <v>300</v>
      </c>
      <c r="C5" s="16">
        <v>14437500</v>
      </c>
      <c r="D5" s="16">
        <v>14437500</v>
      </c>
      <c r="E5" s="16">
        <v>0</v>
      </c>
      <c r="F5" s="7" t="s">
        <v>341</v>
      </c>
    </row>
    <row r="6" spans="2:6" ht="14.25" customHeight="1" x14ac:dyDescent="0.3">
      <c r="B6" t="s">
        <v>342</v>
      </c>
      <c r="C6" s="16">
        <v>-475000</v>
      </c>
      <c r="D6" s="16">
        <v>-3842000</v>
      </c>
      <c r="E6" s="16">
        <v>3367000</v>
      </c>
      <c r="F6" s="7" t="s">
        <v>343</v>
      </c>
    </row>
    <row r="7" spans="2:6" ht="14.25" customHeight="1" x14ac:dyDescent="0.3">
      <c r="B7" t="s">
        <v>344</v>
      </c>
      <c r="C7" s="16">
        <v>-96000</v>
      </c>
      <c r="D7" s="16">
        <v>-2767460</v>
      </c>
      <c r="E7" s="16">
        <v>2671460</v>
      </c>
      <c r="F7" s="7" t="s">
        <v>345</v>
      </c>
    </row>
    <row r="8" spans="2:6" ht="14.25" customHeight="1" x14ac:dyDescent="0.3">
      <c r="B8" t="s">
        <v>346</v>
      </c>
      <c r="C8" s="16">
        <v>-1262000</v>
      </c>
      <c r="D8" s="16">
        <v>-1262000</v>
      </c>
      <c r="E8" s="16">
        <v>0</v>
      </c>
      <c r="F8" s="7" t="s">
        <v>347</v>
      </c>
    </row>
    <row r="9" spans="2:6" ht="14.25" customHeight="1" x14ac:dyDescent="0.3">
      <c r="B9" t="s">
        <v>348</v>
      </c>
      <c r="C9" s="16">
        <v>-895000</v>
      </c>
      <c r="D9" s="16">
        <v>-895000</v>
      </c>
      <c r="E9" s="16">
        <v>0</v>
      </c>
      <c r="F9" s="7" t="s">
        <v>349</v>
      </c>
    </row>
    <row r="10" spans="2:6" ht="14.25" customHeight="1" x14ac:dyDescent="0.3">
      <c r="B10" t="s">
        <v>350</v>
      </c>
      <c r="C10" s="16">
        <v>-13593750</v>
      </c>
      <c r="D10" s="16">
        <v>-13593750</v>
      </c>
      <c r="E10" s="16">
        <v>0</v>
      </c>
      <c r="F10" s="7" t="s">
        <v>349</v>
      </c>
    </row>
    <row r="11" spans="2:6" ht="14.25" customHeight="1" x14ac:dyDescent="0.3">
      <c r="B11" t="s">
        <v>351</v>
      </c>
      <c r="C11" s="16">
        <v>0</v>
      </c>
      <c r="D11" s="16">
        <v>0</v>
      </c>
      <c r="E11" s="7">
        <f t="array" ref="E11">SUM(ABS(E3:E10))</f>
        <v>19945085</v>
      </c>
      <c r="F11" s="7" t="s">
        <v>352</v>
      </c>
    </row>
    <row r="12" spans="2:6" ht="14.25" customHeight="1" x14ac:dyDescent="0.3">
      <c r="C12" s="6"/>
      <c r="D12" s="6"/>
    </row>
  </sheetData>
  <pageMargins left="0.7" right="0.7" top="0.75" bottom="0.75" header="0.511811023622047" footer="0.511811023622047"/>
  <pageSetup paperSize="9" orientation="portrait" horizontalDpi="300" verticalDpi="300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B2:H35"/>
  <sheetViews>
    <sheetView showGridLines="0" zoomScaleNormal="100" workbookViewId="0">
      <pane ySplit="2" topLeftCell="A12" activePane="bottomLeft" state="frozen"/>
      <selection pane="bottomLeft" activeCell="E33" sqref="E32:E33"/>
    </sheetView>
  </sheetViews>
  <sheetFormatPr defaultColWidth="8.6640625" defaultRowHeight="14.4" x14ac:dyDescent="0.3"/>
  <cols>
    <col min="1" max="1" width="1.88671875" customWidth="1"/>
    <col min="2" max="2" width="52" customWidth="1"/>
    <col min="3" max="3" width="18" customWidth="1"/>
    <col min="4" max="4" width="10" customWidth="1"/>
    <col min="5" max="5" width="45.5546875" bestFit="1" customWidth="1"/>
    <col min="6" max="6" width="68.88671875" customWidth="1"/>
  </cols>
  <sheetData>
    <row r="2" spans="2:8" x14ac:dyDescent="0.3">
      <c r="B2" s="15" t="s">
        <v>332</v>
      </c>
      <c r="C2" s="59" t="s">
        <v>106</v>
      </c>
      <c r="D2" s="59" t="s">
        <v>353</v>
      </c>
      <c r="E2" s="59" t="s">
        <v>354</v>
      </c>
      <c r="F2" s="5" t="s">
        <v>355</v>
      </c>
    </row>
    <row r="3" spans="2:8" x14ac:dyDescent="0.3">
      <c r="B3" s="11" t="s">
        <v>95</v>
      </c>
      <c r="C3" s="7">
        <f>Loan_Book_Summary!D5</f>
        <v>456475000</v>
      </c>
      <c r="D3" s="60" t="s">
        <v>356</v>
      </c>
      <c r="E3" s="60" t="s">
        <v>357</v>
      </c>
      <c r="F3" s="14" t="s">
        <v>358</v>
      </c>
    </row>
    <row r="4" spans="2:8" x14ac:dyDescent="0.3">
      <c r="B4" s="11" t="s">
        <v>359</v>
      </c>
      <c r="C4" s="7">
        <f>Loan_Book_Summary!D7</f>
        <v>9967750</v>
      </c>
      <c r="D4" s="60" t="s">
        <v>356</v>
      </c>
      <c r="E4" s="60" t="s">
        <v>357</v>
      </c>
      <c r="F4" s="14" t="s">
        <v>360</v>
      </c>
    </row>
    <row r="5" spans="2:8" x14ac:dyDescent="0.3">
      <c r="B5" s="11" t="s">
        <v>97</v>
      </c>
      <c r="C5" s="7">
        <f>Loan_Book_Summary!D9</f>
        <v>781250</v>
      </c>
      <c r="D5" s="60" t="s">
        <v>356</v>
      </c>
      <c r="E5" s="60" t="s">
        <v>357</v>
      </c>
      <c r="F5" s="14" t="s">
        <v>361</v>
      </c>
    </row>
    <row r="6" spans="2:8" x14ac:dyDescent="0.3">
      <c r="B6" s="11" t="s">
        <v>362</v>
      </c>
      <c r="C6" s="7">
        <f>C5+C4</f>
        <v>10749000</v>
      </c>
      <c r="D6" s="60" t="s">
        <v>356</v>
      </c>
      <c r="E6" s="60" t="s">
        <v>363</v>
      </c>
      <c r="F6" s="14" t="s">
        <v>364</v>
      </c>
    </row>
    <row r="7" spans="2:8" x14ac:dyDescent="0.3">
      <c r="B7" s="11" t="s">
        <v>365</v>
      </c>
      <c r="C7" s="7">
        <f>Cash_Ledger_Summary!D6+Cash_Ledger_Summary!D7+Cash_Ledger_Summary!D8</f>
        <v>-13593750</v>
      </c>
      <c r="D7" s="60" t="s">
        <v>356</v>
      </c>
      <c r="E7" s="60" t="s">
        <v>366</v>
      </c>
      <c r="F7" s="14" t="s">
        <v>367</v>
      </c>
    </row>
    <row r="8" spans="2:8" x14ac:dyDescent="0.3">
      <c r="B8" s="11" t="s">
        <v>368</v>
      </c>
      <c r="C8" s="7">
        <f>C6+C7</f>
        <v>-2844750</v>
      </c>
      <c r="D8" s="60" t="s">
        <v>356</v>
      </c>
      <c r="E8" s="60" t="s">
        <v>363</v>
      </c>
      <c r="F8" s="14" t="s">
        <v>369</v>
      </c>
    </row>
    <row r="9" spans="2:8" x14ac:dyDescent="0.3">
      <c r="B9" s="11" t="s">
        <v>370</v>
      </c>
      <c r="C9" s="7">
        <f>Cash_vs_Recognised!E11</f>
        <v>19945085</v>
      </c>
      <c r="D9" s="60" t="s">
        <v>356</v>
      </c>
      <c r="E9" s="60" t="s">
        <v>371</v>
      </c>
      <c r="F9" s="14" t="s">
        <v>372</v>
      </c>
    </row>
    <row r="10" spans="2:8" x14ac:dyDescent="0.3">
      <c r="B10" s="11" t="s">
        <v>339</v>
      </c>
      <c r="C10" s="7">
        <f>Loan_Book_Summary!D16</f>
        <v>13125000</v>
      </c>
      <c r="D10" s="60" t="s">
        <v>356</v>
      </c>
      <c r="E10" s="60" t="s">
        <v>357</v>
      </c>
      <c r="F10" s="14" t="s">
        <v>373</v>
      </c>
    </row>
    <row r="11" spans="2:8" x14ac:dyDescent="0.3">
      <c r="B11" s="11" t="s">
        <v>374</v>
      </c>
      <c r="C11" s="7">
        <f>Derivatives_CDS!C10</f>
        <v>14437500</v>
      </c>
      <c r="D11" s="60" t="s">
        <v>356</v>
      </c>
      <c r="E11" s="60" t="s">
        <v>375</v>
      </c>
      <c r="F11" s="14" t="s">
        <v>376</v>
      </c>
    </row>
    <row r="12" spans="2:8" x14ac:dyDescent="0.3">
      <c r="B12" s="11" t="s">
        <v>377</v>
      </c>
      <c r="C12" s="7">
        <f>C11-C10</f>
        <v>1312500</v>
      </c>
      <c r="D12" s="60" t="s">
        <v>356</v>
      </c>
      <c r="E12" s="60" t="s">
        <v>363</v>
      </c>
      <c r="F12" s="14" t="s">
        <v>378</v>
      </c>
    </row>
    <row r="13" spans="2:8" x14ac:dyDescent="0.3">
      <c r="B13" s="11" t="s">
        <v>379</v>
      </c>
      <c r="C13" s="7">
        <f>Derivatives_IRS!C11</f>
        <v>-3842000</v>
      </c>
      <c r="D13" s="60" t="s">
        <v>356</v>
      </c>
      <c r="E13" s="60" t="s">
        <v>380</v>
      </c>
      <c r="F13" s="14" t="s">
        <v>381</v>
      </c>
      <c r="H13" s="7" t="s">
        <v>382</v>
      </c>
    </row>
    <row r="14" spans="2:8" x14ac:dyDescent="0.3">
      <c r="B14" s="11" t="s">
        <v>383</v>
      </c>
      <c r="C14" s="23">
        <f>Derivatives_IRS!C15</f>
        <v>367825</v>
      </c>
      <c r="D14" s="60" t="s">
        <v>356</v>
      </c>
      <c r="E14" s="60" t="s">
        <v>380</v>
      </c>
      <c r="F14" s="14" t="s">
        <v>384</v>
      </c>
    </row>
    <row r="15" spans="2:8" x14ac:dyDescent="0.3">
      <c r="B15" s="11" t="s">
        <v>385</v>
      </c>
      <c r="C15" s="7" t="s">
        <v>386</v>
      </c>
      <c r="D15" s="60" t="s">
        <v>387</v>
      </c>
      <c r="E15" s="60" t="s">
        <v>380</v>
      </c>
      <c r="F15" s="14" t="s">
        <v>388</v>
      </c>
    </row>
    <row r="16" spans="2:8" x14ac:dyDescent="0.3">
      <c r="B16" s="11" t="s">
        <v>389</v>
      </c>
      <c r="C16" s="7">
        <f>Leased_Assets_Summary!G6</f>
        <v>1800000</v>
      </c>
      <c r="D16" s="60" t="s">
        <v>356</v>
      </c>
      <c r="E16" s="60" t="s">
        <v>390</v>
      </c>
      <c r="F16" s="14" t="s">
        <v>391</v>
      </c>
    </row>
    <row r="17" spans="2:6" x14ac:dyDescent="0.3">
      <c r="B17" s="11"/>
      <c r="D17" s="60"/>
      <c r="E17" s="60"/>
      <c r="F17" s="14"/>
    </row>
    <row r="18" spans="2:6" x14ac:dyDescent="0.3">
      <c r="B18" s="11" t="s">
        <v>392</v>
      </c>
      <c r="C18" s="24">
        <f>(C6/C3)*4</f>
        <v>9.4191357686620292E-2</v>
      </c>
      <c r="D18" s="60"/>
      <c r="E18" s="60" t="s">
        <v>393</v>
      </c>
      <c r="F18" s="14"/>
    </row>
    <row r="19" spans="2:6" x14ac:dyDescent="0.3">
      <c r="B19" s="11" t="s">
        <v>394</v>
      </c>
      <c r="C19" s="24">
        <f>(C8/C3)*4</f>
        <v>-2.4927980721835805E-2</v>
      </c>
      <c r="D19" s="60"/>
      <c r="E19" s="60" t="s">
        <v>395</v>
      </c>
      <c r="F19" s="14"/>
    </row>
    <row r="20" spans="2:6" x14ac:dyDescent="0.3">
      <c r="B20" s="11" t="s">
        <v>396</v>
      </c>
      <c r="C20" s="24">
        <f>C9/C3</f>
        <v>4.3693707212881322E-2</v>
      </c>
      <c r="D20" s="60"/>
      <c r="E20" s="60" t="s">
        <v>397</v>
      </c>
      <c r="F20" s="14"/>
    </row>
    <row r="21" spans="2:6" x14ac:dyDescent="0.3">
      <c r="B21" s="11"/>
      <c r="D21" s="60"/>
      <c r="E21" s="60"/>
      <c r="F21" s="14"/>
    </row>
    <row r="22" spans="2:6" ht="15.6" x14ac:dyDescent="0.3">
      <c r="B22" s="44"/>
      <c r="C22" s="45"/>
      <c r="D22" s="61"/>
      <c r="E22" s="61"/>
      <c r="F22" s="56"/>
    </row>
    <row r="23" spans="2:6" x14ac:dyDescent="0.3">
      <c r="B23" s="53" t="s">
        <v>398</v>
      </c>
      <c r="C23" s="48">
        <f>C4/C6</f>
        <v>0.92731882035538193</v>
      </c>
      <c r="D23" s="62" t="s">
        <v>399</v>
      </c>
      <c r="E23" s="62" t="s">
        <v>400</v>
      </c>
      <c r="F23" s="57" t="s">
        <v>401</v>
      </c>
    </row>
    <row r="24" spans="2:6" x14ac:dyDescent="0.3">
      <c r="B24" s="53" t="s">
        <v>402</v>
      </c>
      <c r="C24" s="48">
        <f>C5/C6</f>
        <v>7.2681179644618107E-2</v>
      </c>
      <c r="D24" s="62" t="s">
        <v>399</v>
      </c>
      <c r="E24" s="62" t="s">
        <v>403</v>
      </c>
      <c r="F24" s="57" t="s">
        <v>404</v>
      </c>
    </row>
    <row r="25" spans="2:6" x14ac:dyDescent="0.3">
      <c r="B25" s="53" t="s">
        <v>727</v>
      </c>
      <c r="C25" s="49">
        <f>Derivatives_IRS!C15</f>
        <v>367825</v>
      </c>
      <c r="D25" s="62" t="s">
        <v>356</v>
      </c>
      <c r="E25" s="62" t="s">
        <v>405</v>
      </c>
      <c r="F25" s="57" t="s">
        <v>406</v>
      </c>
    </row>
    <row r="26" spans="2:6" x14ac:dyDescent="0.3">
      <c r="B26" s="53" t="s">
        <v>728</v>
      </c>
      <c r="C26" s="50">
        <f>C25/C3*10000</f>
        <v>8.0579440276028258</v>
      </c>
      <c r="D26" s="62" t="s">
        <v>407</v>
      </c>
      <c r="E26" s="62" t="s">
        <v>408</v>
      </c>
      <c r="F26" s="57" t="s">
        <v>409</v>
      </c>
    </row>
    <row r="27" spans="2:6" x14ac:dyDescent="0.3">
      <c r="B27" s="53" t="s">
        <v>729</v>
      </c>
      <c r="C27" s="51">
        <f>C25/(C6/90)</f>
        <v>3.0797516048004465</v>
      </c>
      <c r="D27" s="62" t="s">
        <v>410</v>
      </c>
      <c r="E27" s="62" t="s">
        <v>411</v>
      </c>
      <c r="F27" s="57" t="s">
        <v>412</v>
      </c>
    </row>
    <row r="28" spans="2:6" x14ac:dyDescent="0.3">
      <c r="B28" s="53" t="s">
        <v>413</v>
      </c>
      <c r="C28" s="49">
        <f>Derivatives_FX_Forwards!C8</f>
        <v>2150000</v>
      </c>
      <c r="D28" s="62" t="s">
        <v>356</v>
      </c>
      <c r="E28" s="62" t="s">
        <v>414</v>
      </c>
      <c r="F28" s="57" t="s">
        <v>415</v>
      </c>
    </row>
    <row r="29" spans="2:6" x14ac:dyDescent="0.3">
      <c r="B29" s="53" t="s">
        <v>730</v>
      </c>
      <c r="C29" s="50">
        <f>C28/C3*10000</f>
        <v>47.100060244263098</v>
      </c>
      <c r="D29" s="62" t="s">
        <v>407</v>
      </c>
      <c r="E29" s="62" t="s">
        <v>416</v>
      </c>
      <c r="F29" s="57" t="s">
        <v>417</v>
      </c>
    </row>
    <row r="30" spans="2:6" ht="28.8" x14ac:dyDescent="0.3">
      <c r="B30" s="53" t="s">
        <v>418</v>
      </c>
      <c r="C30" s="49">
        <f>C25+C28</f>
        <v>2517825</v>
      </c>
      <c r="D30" s="62" t="s">
        <v>356</v>
      </c>
      <c r="E30" s="62" t="s">
        <v>419</v>
      </c>
      <c r="F30" s="57" t="s">
        <v>420</v>
      </c>
    </row>
    <row r="31" spans="2:6" x14ac:dyDescent="0.3">
      <c r="B31" s="53" t="s">
        <v>731</v>
      </c>
      <c r="C31" s="50">
        <f>C30/C3*10000</f>
        <v>55.158004271865927</v>
      </c>
      <c r="D31" s="62" t="s">
        <v>407</v>
      </c>
      <c r="E31" s="62" t="s">
        <v>421</v>
      </c>
      <c r="F31" s="57" t="s">
        <v>422</v>
      </c>
    </row>
    <row r="32" spans="2:6" x14ac:dyDescent="0.3">
      <c r="B32" s="53" t="s">
        <v>423</v>
      </c>
      <c r="C32" s="48">
        <f>ABS(C7)/C3*4</f>
        <v>0.11911933840845611</v>
      </c>
      <c r="D32" s="62" t="s">
        <v>424</v>
      </c>
      <c r="E32" s="62" t="s">
        <v>425</v>
      </c>
      <c r="F32" s="57" t="s">
        <v>426</v>
      </c>
    </row>
    <row r="33" spans="2:6" ht="43.2" x14ac:dyDescent="0.3">
      <c r="B33" s="53" t="s">
        <v>732</v>
      </c>
      <c r="C33" s="48">
        <f>C18-C32</f>
        <v>-2.4927980721835816E-2</v>
      </c>
      <c r="D33" s="62" t="s">
        <v>427</v>
      </c>
      <c r="E33" s="62" t="s">
        <v>428</v>
      </c>
      <c r="F33" s="57" t="s">
        <v>726</v>
      </c>
    </row>
    <row r="34" spans="2:6" x14ac:dyDescent="0.3">
      <c r="B34" s="53" t="s">
        <v>429</v>
      </c>
      <c r="C34" s="48">
        <f>C18-C19</f>
        <v>0.11911933840845609</v>
      </c>
      <c r="D34" s="62" t="s">
        <v>427</v>
      </c>
      <c r="E34" s="62" t="s">
        <v>724</v>
      </c>
      <c r="F34" s="57" t="s">
        <v>430</v>
      </c>
    </row>
    <row r="35" spans="2:6" x14ac:dyDescent="0.3">
      <c r="B35" s="54" t="s">
        <v>431</v>
      </c>
      <c r="C35" s="52">
        <f>C6-ABS(C7)</f>
        <v>-2844750</v>
      </c>
      <c r="D35" s="63" t="s">
        <v>356</v>
      </c>
      <c r="E35" s="63" t="s">
        <v>725</v>
      </c>
      <c r="F35" s="58" t="s">
        <v>432</v>
      </c>
    </row>
  </sheetData>
  <pageMargins left="0.7" right="0.7" top="0.75" bottom="0.75" header="0.511811023622047" footer="0.511811023622047"/>
  <pageSetup paperSize="9" orientation="portrait" horizontalDpi="300" verticalDpi="300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B2:K17"/>
  <sheetViews>
    <sheetView showGridLines="0" zoomScaleNormal="100" workbookViewId="0">
      <pane xSplit="3" ySplit="7" topLeftCell="D8" activePane="bottomRight" state="frozen"/>
      <selection pane="topRight" activeCell="D1" sqref="D1"/>
      <selection pane="bottomLeft" activeCell="A8" sqref="A8"/>
      <selection pane="bottomRight" activeCell="D8" sqref="D8"/>
    </sheetView>
  </sheetViews>
  <sheetFormatPr defaultColWidth="8.6640625" defaultRowHeight="14.4" x14ac:dyDescent="0.3"/>
  <cols>
    <col min="1" max="1" width="1.88671875" customWidth="1"/>
    <col min="2" max="2" width="12.6640625" customWidth="1"/>
    <col min="3" max="3" width="28.109375" customWidth="1"/>
    <col min="4" max="4" width="48.5546875" customWidth="1"/>
    <col min="5" max="5" width="49.33203125" customWidth="1"/>
    <col min="6" max="6" width="90.21875" customWidth="1"/>
    <col min="7" max="7" width="17.77734375" customWidth="1"/>
    <col min="8" max="8" width="18.109375" customWidth="1"/>
    <col min="9" max="9" width="50.6640625" customWidth="1"/>
    <col min="10" max="10" width="21.21875" customWidth="1"/>
    <col min="11" max="11" width="20" customWidth="1"/>
  </cols>
  <sheetData>
    <row r="2" spans="2:11" ht="14.25" customHeight="1" x14ac:dyDescent="0.3">
      <c r="B2" s="4" t="s">
        <v>433</v>
      </c>
      <c r="C2" s="4"/>
      <c r="D2" s="4"/>
      <c r="E2" s="4"/>
      <c r="F2" s="4"/>
      <c r="G2" s="4"/>
    </row>
    <row r="4" spans="2:11" ht="14.25" customHeight="1" x14ac:dyDescent="0.3">
      <c r="B4" s="2" t="s">
        <v>434</v>
      </c>
      <c r="C4" s="2"/>
      <c r="D4" s="2"/>
      <c r="E4" s="2"/>
    </row>
    <row r="5" spans="2:11" ht="14.25" customHeight="1" x14ac:dyDescent="0.3">
      <c r="B5" s="2" t="s">
        <v>435</v>
      </c>
      <c r="C5" s="2"/>
      <c r="D5" s="2"/>
      <c r="E5" s="2"/>
    </row>
    <row r="6" spans="2:11" ht="14.25" customHeight="1" x14ac:dyDescent="0.3">
      <c r="B6" s="2" t="s">
        <v>436</v>
      </c>
      <c r="C6" s="2"/>
      <c r="D6" s="2"/>
      <c r="E6" s="2"/>
    </row>
    <row r="7" spans="2:11" ht="14.25" customHeight="1" x14ac:dyDescent="0.3">
      <c r="B7" s="2" t="s">
        <v>437</v>
      </c>
      <c r="C7" s="2"/>
      <c r="D7" s="2"/>
      <c r="E7" s="2"/>
    </row>
    <row r="9" spans="2:11" ht="14.25" customHeight="1" x14ac:dyDescent="0.3">
      <c r="B9" s="15" t="s">
        <v>438</v>
      </c>
      <c r="C9" s="15" t="s">
        <v>439</v>
      </c>
      <c r="D9" s="15" t="s">
        <v>440</v>
      </c>
      <c r="E9" s="15" t="s">
        <v>441</v>
      </c>
      <c r="F9" s="15" t="s">
        <v>442</v>
      </c>
      <c r="G9" s="15" t="s">
        <v>443</v>
      </c>
      <c r="H9" s="15" t="s">
        <v>444</v>
      </c>
      <c r="I9" s="15" t="s">
        <v>445</v>
      </c>
      <c r="J9" s="15" t="s">
        <v>446</v>
      </c>
      <c r="K9" s="15" t="s">
        <v>13</v>
      </c>
    </row>
    <row r="10" spans="2:11" ht="14.25" customHeight="1" x14ac:dyDescent="0.3">
      <c r="B10" t="s">
        <v>447</v>
      </c>
      <c r="C10" t="s">
        <v>448</v>
      </c>
      <c r="D10" t="s">
        <v>449</v>
      </c>
      <c r="E10" t="s">
        <v>450</v>
      </c>
      <c r="F10" t="s">
        <v>451</v>
      </c>
      <c r="G10" s="25" t="s">
        <v>452</v>
      </c>
      <c r="H10">
        <v>9</v>
      </c>
      <c r="I10" t="s">
        <v>453</v>
      </c>
      <c r="J10" s="7">
        <v>14437500</v>
      </c>
      <c r="K10" s="25" t="s">
        <v>199</v>
      </c>
    </row>
    <row r="11" spans="2:11" ht="14.25" customHeight="1" x14ac:dyDescent="0.3">
      <c r="B11" t="s">
        <v>454</v>
      </c>
      <c r="C11" t="s">
        <v>455</v>
      </c>
      <c r="D11" t="s">
        <v>456</v>
      </c>
      <c r="E11" t="s">
        <v>457</v>
      </c>
      <c r="F11" t="s">
        <v>458</v>
      </c>
      <c r="G11" s="25" t="s">
        <v>452</v>
      </c>
      <c r="H11">
        <v>9</v>
      </c>
      <c r="I11" t="s">
        <v>459</v>
      </c>
      <c r="J11" s="7" t="s">
        <v>460</v>
      </c>
      <c r="K11" s="25" t="s">
        <v>199</v>
      </c>
    </row>
    <row r="12" spans="2:11" ht="14.25" customHeight="1" x14ac:dyDescent="0.3">
      <c r="B12" t="s">
        <v>461</v>
      </c>
      <c r="C12" t="s">
        <v>462</v>
      </c>
      <c r="D12" t="s">
        <v>463</v>
      </c>
      <c r="E12" t="s">
        <v>464</v>
      </c>
      <c r="F12" t="s">
        <v>465</v>
      </c>
      <c r="G12" s="26" t="s">
        <v>466</v>
      </c>
      <c r="H12">
        <v>7</v>
      </c>
      <c r="I12" t="s">
        <v>467</v>
      </c>
      <c r="J12" s="7">
        <v>1800000</v>
      </c>
      <c r="K12" s="25" t="s">
        <v>199</v>
      </c>
    </row>
    <row r="13" spans="2:11" ht="14.25" customHeight="1" x14ac:dyDescent="0.3">
      <c r="B13" t="s">
        <v>468</v>
      </c>
      <c r="C13" t="s">
        <v>469</v>
      </c>
      <c r="D13" t="s">
        <v>470</v>
      </c>
      <c r="E13" t="s">
        <v>471</v>
      </c>
      <c r="F13" t="s">
        <v>472</v>
      </c>
      <c r="G13" s="25" t="s">
        <v>452</v>
      </c>
      <c r="H13">
        <v>9</v>
      </c>
      <c r="I13" t="s">
        <v>473</v>
      </c>
      <c r="J13" s="7">
        <v>367825</v>
      </c>
      <c r="K13" s="26" t="s">
        <v>474</v>
      </c>
    </row>
    <row r="14" spans="2:11" ht="14.25" customHeight="1" x14ac:dyDescent="0.3">
      <c r="B14" t="s">
        <v>475</v>
      </c>
      <c r="C14" t="s">
        <v>476</v>
      </c>
      <c r="D14" t="s">
        <v>477</v>
      </c>
      <c r="E14" t="s">
        <v>478</v>
      </c>
      <c r="F14" t="s">
        <v>479</v>
      </c>
      <c r="G14" s="25" t="s">
        <v>452</v>
      </c>
      <c r="H14">
        <v>8</v>
      </c>
      <c r="I14" t="s">
        <v>480</v>
      </c>
      <c r="J14" s="7">
        <v>1850000</v>
      </c>
      <c r="K14" s="25" t="s">
        <v>199</v>
      </c>
    </row>
    <row r="15" spans="2:11" ht="14.25" customHeight="1" x14ac:dyDescent="0.3">
      <c r="B15" t="s">
        <v>481</v>
      </c>
      <c r="C15" t="s">
        <v>482</v>
      </c>
      <c r="D15" t="s">
        <v>483</v>
      </c>
      <c r="E15" t="s">
        <v>484</v>
      </c>
      <c r="F15" t="s">
        <v>485</v>
      </c>
      <c r="G15" s="25" t="s">
        <v>452</v>
      </c>
      <c r="H15">
        <v>10</v>
      </c>
      <c r="I15" t="s">
        <v>486</v>
      </c>
      <c r="J15" s="7">
        <v>4500000</v>
      </c>
      <c r="K15" s="25" t="s">
        <v>199</v>
      </c>
    </row>
    <row r="16" spans="2:11" ht="14.25" customHeight="1" x14ac:dyDescent="0.3">
      <c r="B16" t="s">
        <v>487</v>
      </c>
      <c r="C16" t="s">
        <v>488</v>
      </c>
      <c r="D16" t="s">
        <v>489</v>
      </c>
      <c r="E16" t="s">
        <v>490</v>
      </c>
      <c r="F16" t="s">
        <v>491</v>
      </c>
      <c r="G16" s="26" t="s">
        <v>492</v>
      </c>
      <c r="H16">
        <v>6</v>
      </c>
      <c r="I16" t="s">
        <v>493</v>
      </c>
      <c r="J16" s="7">
        <v>2150000</v>
      </c>
      <c r="K16" s="27" t="s">
        <v>494</v>
      </c>
    </row>
    <row r="17" spans="2:11" ht="14.25" customHeight="1" x14ac:dyDescent="0.3">
      <c r="B17" t="s">
        <v>495</v>
      </c>
      <c r="C17" t="s">
        <v>496</v>
      </c>
      <c r="D17" t="s">
        <v>497</v>
      </c>
      <c r="E17" t="s">
        <v>498</v>
      </c>
      <c r="F17" t="s">
        <v>499</v>
      </c>
      <c r="G17" s="25" t="s">
        <v>452</v>
      </c>
      <c r="H17">
        <v>10</v>
      </c>
      <c r="I17" t="s">
        <v>500</v>
      </c>
      <c r="J17" s="7" t="s">
        <v>501</v>
      </c>
      <c r="K17" s="25" t="s">
        <v>199</v>
      </c>
    </row>
  </sheetData>
  <mergeCells count="5">
    <mergeCell ref="B2:G2"/>
    <mergeCell ref="B4:E4"/>
    <mergeCell ref="B5:E5"/>
    <mergeCell ref="B6:E6"/>
    <mergeCell ref="B7:E7"/>
  </mergeCells>
  <pageMargins left="0.7" right="0.7" top="0.75" bottom="0.75" header="0.511811023622047" footer="0.511811023622047"/>
  <pageSetup paperSize="9" orientation="portrait" horizontalDpi="300" verticalDpi="300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B2:H44"/>
  <sheetViews>
    <sheetView showGridLines="0" zoomScaleNormal="100" workbookViewId="0">
      <selection activeCell="G17" sqref="G17"/>
    </sheetView>
  </sheetViews>
  <sheetFormatPr defaultColWidth="8.6640625" defaultRowHeight="14.4" x14ac:dyDescent="0.3"/>
  <cols>
    <col min="1" max="1" width="1.88671875" customWidth="1"/>
    <col min="2" max="2" width="48.44140625" customWidth="1"/>
    <col min="3" max="3" width="13.77734375" customWidth="1"/>
    <col min="4" max="4" width="13.21875" customWidth="1"/>
    <col min="5" max="5" width="43.33203125" customWidth="1"/>
    <col min="6" max="6" width="24.77734375" customWidth="1"/>
    <col min="7" max="7" width="15.77734375" customWidth="1"/>
    <col min="8" max="8" width="48.109375" customWidth="1"/>
    <col min="9" max="9" width="30.5546875" customWidth="1"/>
  </cols>
  <sheetData>
    <row r="2" spans="2:8" ht="14.25" customHeight="1" x14ac:dyDescent="0.3">
      <c r="B2" s="4" t="s">
        <v>502</v>
      </c>
      <c r="C2" s="4"/>
      <c r="D2" s="4"/>
      <c r="E2" s="4"/>
      <c r="F2" s="4"/>
      <c r="G2" s="4"/>
      <c r="H2" s="4"/>
    </row>
    <row r="3" spans="2:8" ht="14.25" customHeight="1" x14ac:dyDescent="0.3">
      <c r="B3" s="28"/>
    </row>
    <row r="5" spans="2:8" ht="14.25" customHeight="1" x14ac:dyDescent="0.3">
      <c r="B5" s="64" t="s">
        <v>503</v>
      </c>
    </row>
    <row r="6" spans="2:8" ht="14.25" customHeight="1" x14ac:dyDescent="0.3">
      <c r="B6" s="29" t="s">
        <v>504</v>
      </c>
      <c r="C6" s="29" t="s">
        <v>106</v>
      </c>
      <c r="D6" s="29" t="s">
        <v>353</v>
      </c>
      <c r="E6" s="29" t="s">
        <v>505</v>
      </c>
    </row>
    <row r="7" spans="2:8" ht="14.25" customHeight="1" x14ac:dyDescent="0.3">
      <c r="B7" s="30" t="s">
        <v>506</v>
      </c>
      <c r="C7" s="80">
        <f>Loan_Book_Summary!D5</f>
        <v>456475000</v>
      </c>
      <c r="D7" t="s">
        <v>356</v>
      </c>
      <c r="E7" s="30" t="s">
        <v>507</v>
      </c>
    </row>
    <row r="8" spans="2:8" ht="14.25" customHeight="1" x14ac:dyDescent="0.3">
      <c r="B8" s="30" t="s">
        <v>508</v>
      </c>
      <c r="C8" s="80">
        <f>Performance_Metrics!C6</f>
        <v>10749000</v>
      </c>
      <c r="E8" t="s">
        <v>509</v>
      </c>
    </row>
    <row r="9" spans="2:8" ht="14.25" customHeight="1" x14ac:dyDescent="0.3">
      <c r="B9" s="30" t="s">
        <v>510</v>
      </c>
      <c r="C9" s="80">
        <f>ABS(Performance_Metrics!C7)</f>
        <v>13593750</v>
      </c>
      <c r="D9" t="s">
        <v>356</v>
      </c>
      <c r="E9" s="30" t="s">
        <v>511</v>
      </c>
    </row>
    <row r="10" spans="2:8" ht="14.25" customHeight="1" x14ac:dyDescent="0.3">
      <c r="B10" s="30" t="s">
        <v>512</v>
      </c>
      <c r="C10" s="78">
        <v>0.65</v>
      </c>
      <c r="D10" t="s">
        <v>513</v>
      </c>
      <c r="E10" s="30" t="s">
        <v>514</v>
      </c>
    </row>
    <row r="11" spans="2:8" ht="14.25" customHeight="1" x14ac:dyDescent="0.3">
      <c r="B11" s="30" t="s">
        <v>515</v>
      </c>
      <c r="C11" s="79">
        <v>1</v>
      </c>
      <c r="D11" t="s">
        <v>516</v>
      </c>
      <c r="E11" s="30" t="s">
        <v>517</v>
      </c>
    </row>
    <row r="12" spans="2:8" ht="14.25" customHeight="1" x14ac:dyDescent="0.3">
      <c r="B12" s="30" t="s">
        <v>518</v>
      </c>
      <c r="C12" s="79">
        <v>1200000</v>
      </c>
      <c r="D12" t="s">
        <v>356</v>
      </c>
      <c r="E12" s="30" t="s">
        <v>519</v>
      </c>
    </row>
    <row r="13" spans="2:8" ht="14.25" customHeight="1" x14ac:dyDescent="0.3">
      <c r="B13" s="30" t="s">
        <v>520</v>
      </c>
      <c r="C13" s="79">
        <v>606250</v>
      </c>
      <c r="D13" t="s">
        <v>356</v>
      </c>
      <c r="E13" s="30" t="s">
        <v>521</v>
      </c>
    </row>
    <row r="16" spans="2:8" ht="14.25" customHeight="1" x14ac:dyDescent="0.3">
      <c r="B16" s="31" t="s">
        <v>522</v>
      </c>
    </row>
    <row r="17" spans="2:8" ht="27.75" customHeight="1" x14ac:dyDescent="0.3">
      <c r="B17" s="32" t="s">
        <v>523</v>
      </c>
      <c r="C17" s="32" t="s">
        <v>524</v>
      </c>
      <c r="D17" s="100" t="s">
        <v>525</v>
      </c>
      <c r="E17" s="32" t="s">
        <v>526</v>
      </c>
      <c r="F17" s="100" t="s">
        <v>527</v>
      </c>
      <c r="G17" s="100" t="s">
        <v>528</v>
      </c>
      <c r="H17" s="32" t="s">
        <v>529</v>
      </c>
    </row>
    <row r="18" spans="2:8" ht="14.25" customHeight="1" x14ac:dyDescent="0.3">
      <c r="B18" s="30" t="s">
        <v>530</v>
      </c>
      <c r="C18" s="33">
        <f>C8</f>
        <v>10749000</v>
      </c>
      <c r="D18" s="33">
        <f>C9</f>
        <v>13593750</v>
      </c>
      <c r="E18" s="33">
        <f t="shared" ref="E18:E24" si="0">C18-D18</f>
        <v>-2844750</v>
      </c>
      <c r="F18" s="34">
        <f>E18/C7*4</f>
        <v>-2.4927980721835805E-2</v>
      </c>
      <c r="G18">
        <v>0</v>
      </c>
      <c r="H18" t="s">
        <v>531</v>
      </c>
    </row>
    <row r="19" spans="2:8" ht="14.25" customHeight="1" x14ac:dyDescent="0.3">
      <c r="B19" s="30" t="s">
        <v>532</v>
      </c>
      <c r="C19" s="33">
        <f>C8+(C8*C10*0.01)</f>
        <v>10818868.5</v>
      </c>
      <c r="D19">
        <f>C9+(C9*C11*0.01)</f>
        <v>13729687.5</v>
      </c>
      <c r="E19" s="33">
        <f t="shared" si="0"/>
        <v>-2910819</v>
      </c>
      <c r="F19">
        <f>E19/C7*4</f>
        <v>-2.5506930280957338E-2</v>
      </c>
      <c r="G19" s="24">
        <f>F19-F18</f>
        <v>-5.7894955912153254E-4</v>
      </c>
      <c r="H19" t="s">
        <v>533</v>
      </c>
    </row>
    <row r="20" spans="2:8" ht="14.25" customHeight="1" x14ac:dyDescent="0.3">
      <c r="B20" s="30" t="s">
        <v>534</v>
      </c>
      <c r="C20" s="33">
        <f>C8-(C8*C10*0.005)</f>
        <v>10714065.75</v>
      </c>
      <c r="D20" s="33">
        <f>C9-(C9*C11*0.005)</f>
        <v>13525781.25</v>
      </c>
      <c r="E20" s="33">
        <f t="shared" si="0"/>
        <v>-2811715.5</v>
      </c>
      <c r="F20" s="34">
        <f>E20/C7*4</f>
        <v>-2.4638505942275041E-2</v>
      </c>
      <c r="G20" s="24">
        <f>F20-F18</f>
        <v>2.8947477956076453E-4</v>
      </c>
      <c r="H20" t="s">
        <v>535</v>
      </c>
    </row>
    <row r="21" spans="2:8" ht="14.25" customHeight="1" x14ac:dyDescent="0.3">
      <c r="B21" s="30" t="s">
        <v>536</v>
      </c>
      <c r="C21" s="33">
        <f>C8-C12</f>
        <v>9549000</v>
      </c>
      <c r="D21" s="33">
        <f>C9</f>
        <v>13593750</v>
      </c>
      <c r="E21" s="33">
        <f t="shared" si="0"/>
        <v>-4044750</v>
      </c>
      <c r="F21" s="34">
        <f>E21/C7*4</f>
        <v>-3.5443343008927104E-2</v>
      </c>
      <c r="G21" s="24">
        <f>F21-F18</f>
        <v>-1.0515362287091299E-2</v>
      </c>
      <c r="H21" t="s">
        <v>537</v>
      </c>
    </row>
    <row r="22" spans="2:8" ht="14.25" customHeight="1" x14ac:dyDescent="0.3">
      <c r="B22" s="30" t="s">
        <v>538</v>
      </c>
      <c r="C22" s="33">
        <f>C8</f>
        <v>10749000</v>
      </c>
      <c r="D22" s="33">
        <f>C9+C13</f>
        <v>14200000</v>
      </c>
      <c r="E22" s="33">
        <f t="shared" si="0"/>
        <v>-3451000</v>
      </c>
      <c r="F22" s="34">
        <f>E22/C7*4</f>
        <v>-3.024042937729339E-2</v>
      </c>
      <c r="G22" s="24">
        <f>F22-F18</f>
        <v>-5.3124486554575849E-3</v>
      </c>
      <c r="H22" t="s">
        <v>539</v>
      </c>
    </row>
    <row r="23" spans="2:8" ht="43.2" x14ac:dyDescent="0.3">
      <c r="B23" s="96" t="s">
        <v>540</v>
      </c>
      <c r="C23" s="97">
        <f>C9</f>
        <v>13593750</v>
      </c>
      <c r="D23" s="97">
        <f>C9</f>
        <v>13593750</v>
      </c>
      <c r="E23" s="97">
        <f t="shared" si="0"/>
        <v>0</v>
      </c>
      <c r="F23" s="98">
        <v>0</v>
      </c>
      <c r="G23" s="99">
        <f>F23-F18</f>
        <v>2.4927980721835805E-2</v>
      </c>
      <c r="H23" s="95" t="s">
        <v>733</v>
      </c>
    </row>
    <row r="24" spans="2:8" ht="14.25" customHeight="1" x14ac:dyDescent="0.3">
      <c r="B24" s="30" t="s">
        <v>541</v>
      </c>
      <c r="C24" s="33">
        <f>C8</f>
        <v>10749000</v>
      </c>
      <c r="D24" s="33">
        <f>C9</f>
        <v>13593750</v>
      </c>
      <c r="E24" s="33">
        <f t="shared" si="0"/>
        <v>-2844750</v>
      </c>
      <c r="F24" s="34">
        <f>E24/C7*4</f>
        <v>-2.4927980721835805E-2</v>
      </c>
      <c r="G24" s="24">
        <f>F24-F18</f>
        <v>0</v>
      </c>
      <c r="H24" t="s">
        <v>542</v>
      </c>
    </row>
    <row r="26" spans="2:8" ht="14.25" customHeight="1" x14ac:dyDescent="0.3">
      <c r="B26" s="35" t="s">
        <v>543</v>
      </c>
    </row>
    <row r="27" spans="2:8" ht="14.25" customHeight="1" x14ac:dyDescent="0.3">
      <c r="B27" s="2" t="s">
        <v>544</v>
      </c>
      <c r="C27" s="2"/>
      <c r="D27" s="2"/>
      <c r="E27" s="2"/>
    </row>
    <row r="28" spans="2:8" ht="14.25" customHeight="1" x14ac:dyDescent="0.3">
      <c r="B28" s="2" t="s">
        <v>545</v>
      </c>
      <c r="C28" s="2"/>
      <c r="D28" s="2"/>
      <c r="E28" s="2"/>
    </row>
    <row r="29" spans="2:8" ht="14.25" customHeight="1" x14ac:dyDescent="0.3">
      <c r="B29" s="2" t="s">
        <v>546</v>
      </c>
      <c r="C29" s="2"/>
      <c r="D29" s="2"/>
      <c r="E29" s="2"/>
      <c r="F29" t="s">
        <v>547</v>
      </c>
    </row>
    <row r="30" spans="2:8" ht="14.25" customHeight="1" x14ac:dyDescent="0.3">
      <c r="B30" s="2" t="s">
        <v>548</v>
      </c>
      <c r="C30" s="2"/>
      <c r="D30" s="2"/>
      <c r="E30" s="2"/>
    </row>
    <row r="31" spans="2:8" ht="14.25" customHeight="1" x14ac:dyDescent="0.3">
      <c r="B31" s="2" t="s">
        <v>549</v>
      </c>
      <c r="C31" s="2"/>
      <c r="D31" s="2"/>
      <c r="E31" s="2"/>
    </row>
    <row r="33" spans="2:5" ht="14.25" customHeight="1" x14ac:dyDescent="0.3">
      <c r="B33" s="1" t="s">
        <v>550</v>
      </c>
      <c r="C33" s="1"/>
      <c r="D33" s="1"/>
      <c r="E33" s="1"/>
    </row>
    <row r="34" spans="2:5" ht="14.25" customHeight="1" x14ac:dyDescent="0.3">
      <c r="B34" s="2" t="s">
        <v>551</v>
      </c>
      <c r="C34" s="2"/>
      <c r="D34" s="2"/>
      <c r="E34" s="2"/>
    </row>
    <row r="35" spans="2:5" ht="14.25" customHeight="1" x14ac:dyDescent="0.3">
      <c r="B35" s="2" t="s">
        <v>552</v>
      </c>
      <c r="C35" s="2"/>
      <c r="D35" s="2"/>
      <c r="E35" s="2"/>
    </row>
    <row r="36" spans="2:5" ht="14.25" customHeight="1" x14ac:dyDescent="0.3">
      <c r="B36" s="2" t="s">
        <v>553</v>
      </c>
      <c r="C36" s="2"/>
      <c r="D36" s="2"/>
      <c r="E36" s="2"/>
    </row>
    <row r="37" spans="2:5" ht="14.25" customHeight="1" x14ac:dyDescent="0.3">
      <c r="B37" s="2" t="s">
        <v>554</v>
      </c>
      <c r="C37" s="2"/>
      <c r="D37" s="2"/>
      <c r="E37" s="2"/>
    </row>
    <row r="39" spans="2:5" ht="14.25" customHeight="1" x14ac:dyDescent="0.3">
      <c r="B39" s="65" t="s">
        <v>555</v>
      </c>
      <c r="C39" s="65"/>
    </row>
    <row r="40" spans="2:5" ht="14.25" customHeight="1" x14ac:dyDescent="0.3">
      <c r="B40" t="s">
        <v>556</v>
      </c>
      <c r="C40" s="81">
        <f>Performance_Metrics!C18</f>
        <v>9.4191357686620292E-2</v>
      </c>
    </row>
    <row r="41" spans="2:5" ht="14.25" customHeight="1" x14ac:dyDescent="0.3">
      <c r="B41" t="s">
        <v>557</v>
      </c>
      <c r="C41" s="82">
        <f>Performance_Metrics!C32</f>
        <v>0.11911933840845611</v>
      </c>
    </row>
    <row r="42" spans="2:5" ht="14.25" customHeight="1" x14ac:dyDescent="0.3">
      <c r="B42" t="s">
        <v>558</v>
      </c>
      <c r="C42" s="83">
        <f>Performance_Metrics!C33</f>
        <v>-2.4927980721835816E-2</v>
      </c>
    </row>
    <row r="43" spans="2:5" ht="14.25" customHeight="1" x14ac:dyDescent="0.3">
      <c r="B43" t="s">
        <v>559</v>
      </c>
      <c r="C43" s="81">
        <f>Performance_Metrics!C19</f>
        <v>-2.4927980721835805E-2</v>
      </c>
    </row>
    <row r="44" spans="2:5" ht="14.25" customHeight="1" x14ac:dyDescent="0.3">
      <c r="B44" t="s">
        <v>560</v>
      </c>
      <c r="C44" t="s">
        <v>561</v>
      </c>
    </row>
  </sheetData>
  <mergeCells count="12">
    <mergeCell ref="B37:E37"/>
    <mergeCell ref="B39:C39"/>
    <mergeCell ref="B31:E31"/>
    <mergeCell ref="B33:E33"/>
    <mergeCell ref="B34:E34"/>
    <mergeCell ref="B35:E35"/>
    <mergeCell ref="B36:E36"/>
    <mergeCell ref="B2:H2"/>
    <mergeCell ref="B27:E27"/>
    <mergeCell ref="B28:E28"/>
    <mergeCell ref="B29:E29"/>
    <mergeCell ref="B30:E30"/>
  </mergeCells>
  <pageMargins left="0.7" right="0.7" top="0.75" bottom="0.75" header="0.511811023622047" footer="0.511811023622047"/>
  <pageSetup paperSize="9" orientation="portrait" horizontalDpi="300" verticalDpi="300"/>
  <tableParts count="1"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B2:D75"/>
  <sheetViews>
    <sheetView showGridLines="0" topLeftCell="A47" zoomScale="85" zoomScaleNormal="85" workbookViewId="0">
      <selection activeCell="H64" sqref="H64"/>
    </sheetView>
  </sheetViews>
  <sheetFormatPr defaultColWidth="8.6640625" defaultRowHeight="14.4" x14ac:dyDescent="0.3"/>
  <cols>
    <col min="1" max="1" width="1.88671875" customWidth="1"/>
    <col min="2" max="2" width="24" customWidth="1"/>
    <col min="3" max="3" width="33" customWidth="1"/>
    <col min="4" max="4" width="49.77734375" customWidth="1"/>
    <col min="5" max="5" width="40.109375" customWidth="1"/>
  </cols>
  <sheetData>
    <row r="2" spans="2:4" ht="14.25" customHeight="1" x14ac:dyDescent="0.3">
      <c r="B2" s="4" t="s">
        <v>562</v>
      </c>
      <c r="C2" s="4"/>
      <c r="D2" s="4"/>
    </row>
    <row r="5" spans="2:4" ht="14.25" customHeight="1" x14ac:dyDescent="0.3">
      <c r="B5" s="15" t="s">
        <v>563</v>
      </c>
      <c r="C5" s="15"/>
      <c r="D5" s="15"/>
    </row>
    <row r="7" spans="2:4" ht="14.25" customHeight="1" x14ac:dyDescent="0.3">
      <c r="B7" s="36" t="s">
        <v>332</v>
      </c>
      <c r="C7" s="37" t="s">
        <v>106</v>
      </c>
      <c r="D7" s="37" t="s">
        <v>564</v>
      </c>
    </row>
    <row r="8" spans="2:4" ht="14.25" customHeight="1" x14ac:dyDescent="0.3">
      <c r="B8" s="38" t="s">
        <v>565</v>
      </c>
      <c r="C8" s="39">
        <v>9.4200000000000006E-2</v>
      </c>
      <c r="D8" s="40" t="s">
        <v>566</v>
      </c>
    </row>
    <row r="9" spans="2:4" ht="14.25" customHeight="1" x14ac:dyDescent="0.3">
      <c r="B9" s="38" t="s">
        <v>567</v>
      </c>
      <c r="C9" s="39">
        <v>-2.4899999999999999E-2</v>
      </c>
      <c r="D9" s="40" t="s">
        <v>568</v>
      </c>
    </row>
    <row r="10" spans="2:4" ht="14.25" customHeight="1" x14ac:dyDescent="0.3">
      <c r="B10" s="38" t="s">
        <v>362</v>
      </c>
      <c r="C10" s="41">
        <v>10750000</v>
      </c>
      <c r="D10" s="40" t="s">
        <v>364</v>
      </c>
    </row>
    <row r="11" spans="2:4" ht="14.25" customHeight="1" x14ac:dyDescent="0.3">
      <c r="B11" s="38" t="s">
        <v>377</v>
      </c>
      <c r="C11" s="41">
        <v>1310000</v>
      </c>
      <c r="D11" s="40" t="s">
        <v>569</v>
      </c>
    </row>
    <row r="12" spans="2:4" ht="14.25" customHeight="1" x14ac:dyDescent="0.3">
      <c r="B12" s="38" t="s">
        <v>570</v>
      </c>
      <c r="C12" s="40" t="s">
        <v>386</v>
      </c>
      <c r="D12" s="40" t="s">
        <v>571</v>
      </c>
    </row>
    <row r="15" spans="2:4" ht="14.25" customHeight="1" x14ac:dyDescent="0.3">
      <c r="B15" s="15" t="s">
        <v>572</v>
      </c>
      <c r="C15" s="15"/>
      <c r="D15" s="15"/>
    </row>
    <row r="17" spans="2:4" ht="14.25" customHeight="1" x14ac:dyDescent="0.3">
      <c r="B17" s="36" t="s">
        <v>332</v>
      </c>
      <c r="C17" s="37" t="s">
        <v>106</v>
      </c>
      <c r="D17" s="37" t="s">
        <v>564</v>
      </c>
    </row>
    <row r="18" spans="2:4" ht="14.25" customHeight="1" x14ac:dyDescent="0.3">
      <c r="B18" s="38" t="s">
        <v>573</v>
      </c>
      <c r="C18" s="41">
        <v>19950000</v>
      </c>
      <c r="D18" s="40" t="s">
        <v>574</v>
      </c>
    </row>
    <row r="19" spans="2:4" ht="14.25" customHeight="1" x14ac:dyDescent="0.3">
      <c r="B19" s="38" t="s">
        <v>575</v>
      </c>
      <c r="C19" s="39">
        <v>4.3700000000000003E-2</v>
      </c>
      <c r="D19" s="40" t="s">
        <v>576</v>
      </c>
    </row>
    <row r="20" spans="2:4" ht="14.25" customHeight="1" x14ac:dyDescent="0.3">
      <c r="B20" s="38" t="s">
        <v>577</v>
      </c>
      <c r="C20" s="41">
        <v>780000</v>
      </c>
      <c r="D20" s="40" t="s">
        <v>578</v>
      </c>
    </row>
    <row r="21" spans="2:4" ht="14.25" customHeight="1" x14ac:dyDescent="0.3">
      <c r="B21" s="38" t="s">
        <v>579</v>
      </c>
      <c r="C21" s="41">
        <v>13130000</v>
      </c>
      <c r="D21" s="40" t="s">
        <v>580</v>
      </c>
    </row>
    <row r="22" spans="2:4" ht="27.75" customHeight="1" x14ac:dyDescent="0.3">
      <c r="B22" s="38" t="s">
        <v>581</v>
      </c>
      <c r="C22" s="40" t="s">
        <v>257</v>
      </c>
      <c r="D22" s="40" t="s">
        <v>582</v>
      </c>
    </row>
    <row r="25" spans="2:4" ht="14.25" customHeight="1" x14ac:dyDescent="0.3">
      <c r="B25" s="15" t="s">
        <v>583</v>
      </c>
      <c r="C25" s="15"/>
      <c r="D25" s="15"/>
    </row>
    <row r="27" spans="2:4" ht="14.25" customHeight="1" x14ac:dyDescent="0.3">
      <c r="B27" s="36" t="s">
        <v>332</v>
      </c>
      <c r="C27" s="37" t="s">
        <v>106</v>
      </c>
      <c r="D27" s="37" t="s">
        <v>564</v>
      </c>
    </row>
    <row r="28" spans="2:4" ht="14.25" customHeight="1" x14ac:dyDescent="0.3">
      <c r="B28" s="38" t="s">
        <v>584</v>
      </c>
      <c r="C28" s="40" t="s">
        <v>585</v>
      </c>
      <c r="D28" s="40" t="s">
        <v>586</v>
      </c>
    </row>
    <row r="29" spans="2:4" ht="14.25" customHeight="1" x14ac:dyDescent="0.3">
      <c r="B29" s="38" t="s">
        <v>587</v>
      </c>
      <c r="C29" s="40" t="s">
        <v>588</v>
      </c>
      <c r="D29" s="40" t="s">
        <v>589</v>
      </c>
    </row>
    <row r="30" spans="2:4" ht="14.25" customHeight="1" x14ac:dyDescent="0.3">
      <c r="B30" s="38" t="s">
        <v>590</v>
      </c>
      <c r="C30" s="41">
        <v>368000</v>
      </c>
      <c r="D30" s="40" t="s">
        <v>591</v>
      </c>
    </row>
    <row r="31" spans="2:4" ht="14.25" customHeight="1" x14ac:dyDescent="0.3">
      <c r="B31" s="38" t="s">
        <v>592</v>
      </c>
      <c r="C31" s="41">
        <v>2150000</v>
      </c>
      <c r="D31" s="40" t="s">
        <v>593</v>
      </c>
    </row>
    <row r="32" spans="2:4" ht="14.25" customHeight="1" x14ac:dyDescent="0.3">
      <c r="B32" s="38" t="s">
        <v>573</v>
      </c>
      <c r="C32" s="41">
        <v>19950000</v>
      </c>
      <c r="D32" s="40" t="s">
        <v>594</v>
      </c>
    </row>
    <row r="35" spans="2:4" ht="14.25" customHeight="1" x14ac:dyDescent="0.3">
      <c r="B35" s="15" t="s">
        <v>595</v>
      </c>
      <c r="C35" s="15"/>
      <c r="D35" s="15"/>
    </row>
    <row r="37" spans="2:4" ht="14.25" customHeight="1" x14ac:dyDescent="0.3">
      <c r="B37" s="36" t="s">
        <v>105</v>
      </c>
      <c r="C37" s="37" t="s">
        <v>596</v>
      </c>
      <c r="D37" s="37" t="s">
        <v>564</v>
      </c>
    </row>
    <row r="38" spans="2:4" ht="14.25" customHeight="1" x14ac:dyDescent="0.3">
      <c r="B38" s="38" t="s">
        <v>597</v>
      </c>
      <c r="C38" s="40">
        <v>8</v>
      </c>
      <c r="D38" s="40" t="s">
        <v>598</v>
      </c>
    </row>
    <row r="39" spans="2:4" ht="14.25" customHeight="1" x14ac:dyDescent="0.3">
      <c r="B39" s="38" t="s">
        <v>599</v>
      </c>
      <c r="C39" s="40">
        <v>6</v>
      </c>
      <c r="D39" s="40" t="s">
        <v>600</v>
      </c>
    </row>
    <row r="40" spans="2:4" ht="14.25" customHeight="1" x14ac:dyDescent="0.3">
      <c r="B40" s="38" t="s">
        <v>601</v>
      </c>
      <c r="C40" s="40">
        <v>2</v>
      </c>
      <c r="D40" s="40" t="s">
        <v>602</v>
      </c>
    </row>
    <row r="41" spans="2:4" ht="14.25" customHeight="1" x14ac:dyDescent="0.3">
      <c r="B41" s="38" t="s">
        <v>603</v>
      </c>
      <c r="C41" s="40">
        <v>4</v>
      </c>
      <c r="D41" s="40" t="s">
        <v>604</v>
      </c>
    </row>
    <row r="42" spans="2:4" ht="27.75" customHeight="1" x14ac:dyDescent="0.3">
      <c r="B42" s="38" t="s">
        <v>605</v>
      </c>
      <c r="C42" s="40" t="s">
        <v>606</v>
      </c>
      <c r="D42" s="40" t="s">
        <v>607</v>
      </c>
    </row>
    <row r="45" spans="2:4" ht="14.25" customHeight="1" x14ac:dyDescent="0.3">
      <c r="B45" s="15" t="s">
        <v>608</v>
      </c>
      <c r="C45" s="15"/>
      <c r="D45" s="15"/>
    </row>
    <row r="47" spans="2:4" ht="14.25" customHeight="1" x14ac:dyDescent="0.3">
      <c r="B47" s="42" t="s">
        <v>609</v>
      </c>
      <c r="C47" s="37" t="s">
        <v>13</v>
      </c>
      <c r="D47" s="37" t="s">
        <v>610</v>
      </c>
    </row>
    <row r="48" spans="2:4" ht="14.25" customHeight="1" x14ac:dyDescent="0.3">
      <c r="B48" s="38" t="s">
        <v>611</v>
      </c>
      <c r="C48" s="101" t="s">
        <v>612</v>
      </c>
      <c r="D48" s="40" t="s">
        <v>613</v>
      </c>
    </row>
    <row r="49" spans="2:4" ht="14.25" customHeight="1" x14ac:dyDescent="0.3">
      <c r="B49" s="38" t="s">
        <v>614</v>
      </c>
      <c r="C49" s="102" t="s">
        <v>615</v>
      </c>
      <c r="D49" s="40" t="s">
        <v>616</v>
      </c>
    </row>
    <row r="50" spans="2:4" ht="14.25" customHeight="1" x14ac:dyDescent="0.3">
      <c r="B50" s="38" t="s">
        <v>617</v>
      </c>
      <c r="C50" s="103" t="s">
        <v>618</v>
      </c>
      <c r="D50" s="40" t="s">
        <v>619</v>
      </c>
    </row>
    <row r="51" spans="2:4" ht="14.25" customHeight="1" x14ac:dyDescent="0.3">
      <c r="B51" s="38" t="s">
        <v>620</v>
      </c>
      <c r="C51" s="103" t="s">
        <v>576</v>
      </c>
      <c r="D51" s="40" t="s">
        <v>621</v>
      </c>
    </row>
    <row r="52" spans="2:4" ht="14.25" customHeight="1" x14ac:dyDescent="0.3">
      <c r="B52" s="38" t="s">
        <v>622</v>
      </c>
      <c r="C52" s="103" t="s">
        <v>623</v>
      </c>
      <c r="D52" s="40" t="s">
        <v>624</v>
      </c>
    </row>
    <row r="53" spans="2:4" ht="14.25" customHeight="1" x14ac:dyDescent="0.3">
      <c r="B53" s="38" t="s">
        <v>625</v>
      </c>
      <c r="C53" s="103" t="s">
        <v>269</v>
      </c>
      <c r="D53" s="40" t="s">
        <v>626</v>
      </c>
    </row>
    <row r="56" spans="2:4" ht="14.25" customHeight="1" x14ac:dyDescent="0.3">
      <c r="B56" s="15" t="s">
        <v>627</v>
      </c>
      <c r="C56" s="15"/>
      <c r="D56" s="15"/>
    </row>
    <row r="58" spans="2:4" ht="14.25" customHeight="1" x14ac:dyDescent="0.3">
      <c r="B58" s="36" t="s">
        <v>332</v>
      </c>
      <c r="C58" s="37" t="s">
        <v>106</v>
      </c>
      <c r="D58" s="37" t="s">
        <v>564</v>
      </c>
    </row>
    <row r="59" spans="2:4" ht="14.25" customHeight="1" x14ac:dyDescent="0.3">
      <c r="B59" s="38" t="s">
        <v>628</v>
      </c>
      <c r="C59" s="39">
        <v>-2.4899999999999999E-2</v>
      </c>
      <c r="D59" s="40" t="s">
        <v>629</v>
      </c>
    </row>
    <row r="60" spans="2:4" ht="14.25" customHeight="1" x14ac:dyDescent="0.3">
      <c r="B60" s="38" t="s">
        <v>630</v>
      </c>
      <c r="C60" s="41">
        <v>25000000</v>
      </c>
      <c r="D60" s="40" t="s">
        <v>631</v>
      </c>
    </row>
    <row r="61" spans="2:4" ht="14.25" customHeight="1" x14ac:dyDescent="0.3">
      <c r="B61" s="38" t="s">
        <v>632</v>
      </c>
      <c r="C61" s="41">
        <v>15000000</v>
      </c>
      <c r="D61" s="40" t="s">
        <v>633</v>
      </c>
    </row>
    <row r="62" spans="2:4" ht="14.25" customHeight="1" x14ac:dyDescent="0.3">
      <c r="B62" s="38" t="s">
        <v>634</v>
      </c>
      <c r="C62" s="41">
        <v>10000000</v>
      </c>
      <c r="D62" s="40" t="s">
        <v>635</v>
      </c>
    </row>
    <row r="63" spans="2:4" ht="14.25" customHeight="1" x14ac:dyDescent="0.3">
      <c r="B63" s="38" t="s">
        <v>636</v>
      </c>
      <c r="C63" s="41" t="s">
        <v>637</v>
      </c>
      <c r="D63" s="40" t="s">
        <v>638</v>
      </c>
    </row>
    <row r="66" spans="2:4" ht="14.25" customHeight="1" x14ac:dyDescent="0.3">
      <c r="B66" s="15" t="s">
        <v>639</v>
      </c>
      <c r="C66" s="15"/>
      <c r="D66" s="15"/>
    </row>
    <row r="68" spans="2:4" ht="14.25" customHeight="1" x14ac:dyDescent="0.3">
      <c r="B68" s="36" t="s">
        <v>609</v>
      </c>
      <c r="C68" s="37" t="s">
        <v>640</v>
      </c>
      <c r="D68" s="37" t="s">
        <v>641</v>
      </c>
    </row>
    <row r="69" spans="2:4" ht="14.25" customHeight="1" x14ac:dyDescent="0.3">
      <c r="B69" s="38" t="s">
        <v>611</v>
      </c>
      <c r="C69" s="101" t="s">
        <v>612</v>
      </c>
      <c r="D69" s="40" t="s">
        <v>613</v>
      </c>
    </row>
    <row r="70" spans="2:4" ht="14.25" customHeight="1" x14ac:dyDescent="0.3">
      <c r="B70" s="38" t="s">
        <v>642</v>
      </c>
      <c r="C70" s="102" t="s">
        <v>615</v>
      </c>
      <c r="D70" s="40" t="s">
        <v>643</v>
      </c>
    </row>
    <row r="71" spans="2:4" ht="14.25" customHeight="1" x14ac:dyDescent="0.3">
      <c r="B71" s="38" t="s">
        <v>644</v>
      </c>
      <c r="C71" s="103" t="s">
        <v>618</v>
      </c>
      <c r="D71" s="40" t="s">
        <v>645</v>
      </c>
    </row>
    <row r="72" spans="2:4" ht="14.25" customHeight="1" x14ac:dyDescent="0.3">
      <c r="B72" s="38" t="s">
        <v>646</v>
      </c>
      <c r="C72" s="103" t="s">
        <v>576</v>
      </c>
      <c r="D72" s="40" t="s">
        <v>647</v>
      </c>
    </row>
    <row r="73" spans="2:4" ht="14.25" customHeight="1" x14ac:dyDescent="0.3">
      <c r="B73" s="38" t="s">
        <v>648</v>
      </c>
      <c r="C73" s="103" t="s">
        <v>649</v>
      </c>
      <c r="D73" s="40" t="s">
        <v>650</v>
      </c>
    </row>
    <row r="74" spans="2:4" ht="14.25" customHeight="1" x14ac:dyDescent="0.3">
      <c r="B74" s="38" t="s">
        <v>651</v>
      </c>
      <c r="C74" s="103" t="s">
        <v>269</v>
      </c>
      <c r="D74" s="40" t="s">
        <v>652</v>
      </c>
    </row>
    <row r="75" spans="2:4" ht="14.25" customHeight="1" x14ac:dyDescent="0.3">
      <c r="C75" s="11"/>
    </row>
  </sheetData>
  <mergeCells count="1">
    <mergeCell ref="B2:D2"/>
  </mergeCells>
  <pageMargins left="0.7" right="0.7" top="0.75" bottom="0.75" header="0.511811023622047" footer="0.511811023622047"/>
  <pageSetup paperSize="9" orientation="portrait" horizontalDpi="300" verticalDpi="30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B2:G33"/>
  <sheetViews>
    <sheetView showGridLines="0" tabSelected="1" zoomScaleNormal="100" workbookViewId="0">
      <selection activeCell="E3" sqref="E3"/>
    </sheetView>
  </sheetViews>
  <sheetFormatPr defaultColWidth="8.6640625" defaultRowHeight="14.4" x14ac:dyDescent="0.3"/>
  <cols>
    <col min="1" max="1" width="1.88671875" style="46" customWidth="1"/>
    <col min="2" max="2" width="46.33203125" style="46" bestFit="1" customWidth="1"/>
    <col min="3" max="3" width="21" style="46" bestFit="1" customWidth="1"/>
    <col min="4" max="4" width="36.21875" style="46" bestFit="1" customWidth="1"/>
    <col min="5" max="5" width="50.88671875" style="46" bestFit="1" customWidth="1"/>
    <col min="6" max="6" width="38.21875" style="46" bestFit="1" customWidth="1"/>
    <col min="7" max="7" width="20" style="46" customWidth="1"/>
    <col min="8" max="16384" width="8.6640625" style="46"/>
  </cols>
  <sheetData>
    <row r="2" spans="2:6" ht="15" customHeight="1" x14ac:dyDescent="0.3">
      <c r="B2" s="66" t="s">
        <v>684</v>
      </c>
      <c r="C2" s="66"/>
      <c r="D2" s="66"/>
      <c r="E2" s="66"/>
      <c r="F2" s="66"/>
    </row>
    <row r="3" spans="2:6" ht="15" customHeight="1" x14ac:dyDescent="0.3">
      <c r="B3" s="70"/>
    </row>
    <row r="4" spans="2:6" ht="15" customHeight="1" x14ac:dyDescent="0.3">
      <c r="B4" s="86" t="s">
        <v>685</v>
      </c>
      <c r="C4" s="86" t="s">
        <v>686</v>
      </c>
      <c r="D4" s="87" t="s">
        <v>687</v>
      </c>
      <c r="E4" s="87" t="s">
        <v>688</v>
      </c>
      <c r="F4" s="87" t="s">
        <v>138</v>
      </c>
    </row>
    <row r="5" spans="2:6" ht="15" customHeight="1" x14ac:dyDescent="0.3">
      <c r="B5" s="88" t="s">
        <v>19</v>
      </c>
      <c r="C5" s="89">
        <f>SUMIF(Loan_Book!D$6:D$22,B5,Loan_Book!H$6:H$22)</f>
        <v>66625000</v>
      </c>
      <c r="D5" s="90">
        <f>IF(Loan_Book_Summary!$D$5=0,0,C5/Loan_Book_Summary!$D$5)</f>
        <v>0.1459554192453037</v>
      </c>
      <c r="E5" s="47">
        <f>RANK(C5,$C$5:$C$17,0)</f>
        <v>2</v>
      </c>
      <c r="F5" s="55" t="s">
        <v>689</v>
      </c>
    </row>
    <row r="6" spans="2:6" ht="15" customHeight="1" x14ac:dyDescent="0.3">
      <c r="B6" s="88" t="s">
        <v>60</v>
      </c>
      <c r="C6" s="89">
        <f>SUMIF(Loan_Book!D$6:D$22,B6,Loan_Book!H$6:H$22)</f>
        <v>60350000</v>
      </c>
      <c r="D6" s="90">
        <f>IF(Loan_Book_Summary!$D$5=0,0,C6/Loan_Book_Summary!$D$5)</f>
        <v>0.13220877375540829</v>
      </c>
      <c r="E6" s="47">
        <f t="shared" ref="E6:E17" si="0">RANK(C6,$C$5:$C$17,0)</f>
        <v>3</v>
      </c>
      <c r="F6" s="55" t="s">
        <v>690</v>
      </c>
    </row>
    <row r="7" spans="2:6" ht="15" customHeight="1" x14ac:dyDescent="0.3">
      <c r="B7" s="88" t="s">
        <v>33</v>
      </c>
      <c r="C7" s="89">
        <f>SUMIF(Loan_Book!D$6:D$22,B7,Loan_Book!H$6:H$22)</f>
        <v>120000000</v>
      </c>
      <c r="D7" s="90">
        <f>IF(Loan_Book_Summary!$D$5=0,0,C7/Loan_Book_Summary!$D$5)</f>
        <v>0.26288405717728242</v>
      </c>
      <c r="E7" s="47">
        <f t="shared" si="0"/>
        <v>1</v>
      </c>
      <c r="F7" s="55" t="s">
        <v>691</v>
      </c>
    </row>
    <row r="8" spans="2:6" ht="15" customHeight="1" x14ac:dyDescent="0.3">
      <c r="B8" s="88" t="s">
        <v>52</v>
      </c>
      <c r="C8" s="89">
        <f>SUMIF(Loan_Book!D$6:D$22,B8,Loan_Book!H$6:H$22)</f>
        <v>30500000</v>
      </c>
      <c r="D8" s="90">
        <f>IF(Loan_Book_Summary!$D$5=0,0,C8/Loan_Book_Summary!$D$5)</f>
        <v>6.6816364532559291E-2</v>
      </c>
      <c r="E8" s="47">
        <f t="shared" si="0"/>
        <v>5</v>
      </c>
      <c r="F8" s="55" t="s">
        <v>692</v>
      </c>
    </row>
    <row r="9" spans="2:6" ht="15" customHeight="1" x14ac:dyDescent="0.3">
      <c r="B9" s="88" t="s">
        <v>69</v>
      </c>
      <c r="C9" s="89">
        <f>SUMIF(Loan_Book!D$6:D$22,B9,Loan_Book!H$6:H$22)</f>
        <v>32000000</v>
      </c>
      <c r="D9" s="90">
        <f>IF(Loan_Book_Summary!$D$5=0,0,C9/Loan_Book_Summary!$D$5)</f>
        <v>7.0102415247275313E-2</v>
      </c>
      <c r="E9" s="47">
        <f t="shared" si="0"/>
        <v>4</v>
      </c>
      <c r="F9" s="55" t="s">
        <v>693</v>
      </c>
    </row>
    <row r="10" spans="2:6" ht="15" customHeight="1" x14ac:dyDescent="0.3">
      <c r="B10" s="88" t="s">
        <v>82</v>
      </c>
      <c r="C10" s="89">
        <f>SUMIF(Loan_Book!D$6:D$22,B10,Loan_Book!H$6:H$22)</f>
        <v>28000000</v>
      </c>
      <c r="D10" s="90">
        <f>IF(Loan_Book_Summary!$D$5=0,0,C10/Loan_Book_Summary!$D$5)</f>
        <v>6.1339613341365902E-2</v>
      </c>
      <c r="E10" s="47">
        <f t="shared" si="0"/>
        <v>6</v>
      </c>
      <c r="F10" s="55" t="s">
        <v>694</v>
      </c>
    </row>
    <row r="11" spans="2:6" ht="15" customHeight="1" x14ac:dyDescent="0.3">
      <c r="B11" s="88" t="s">
        <v>41</v>
      </c>
      <c r="C11" s="89">
        <f>SUMIF(Loan_Book!D$6:D$22,B11,Loan_Book!H$6:H$22)</f>
        <v>22000000</v>
      </c>
      <c r="D11" s="90">
        <f>IF(Loan_Book_Summary!$D$5=0,0,C11/Loan_Book_Summary!$D$5)</f>
        <v>4.8195410482501783E-2</v>
      </c>
      <c r="E11" s="47">
        <f t="shared" si="0"/>
        <v>7</v>
      </c>
      <c r="F11" s="55" t="s">
        <v>695</v>
      </c>
    </row>
    <row r="12" spans="2:6" ht="15" customHeight="1" x14ac:dyDescent="0.3">
      <c r="B12" s="88" t="s">
        <v>78</v>
      </c>
      <c r="C12" s="89">
        <f>SUMIF(Loan_Book!D$6:D$22,B12,Loan_Book!H$6:H$22)</f>
        <v>18000000</v>
      </c>
      <c r="D12" s="90">
        <f>IF(Loan_Book_Summary!$D$5=0,0,C12/Loan_Book_Summary!$D$5)</f>
        <v>3.9432608576592365E-2</v>
      </c>
      <c r="E12" s="47">
        <f t="shared" si="0"/>
        <v>9</v>
      </c>
      <c r="F12" s="55" t="s">
        <v>696</v>
      </c>
    </row>
    <row r="13" spans="2:6" ht="15" customHeight="1" x14ac:dyDescent="0.3">
      <c r="B13" s="88" t="s">
        <v>28</v>
      </c>
      <c r="C13" s="89">
        <f>SUMIF(Loan_Book!D$6:D$22,B13,Loan_Book!H$6:H$22)</f>
        <v>20000000</v>
      </c>
      <c r="D13" s="90">
        <f>IF(Loan_Book_Summary!$D$5=0,0,C13/Loan_Book_Summary!$D$5)</f>
        <v>4.3814009529547074E-2</v>
      </c>
      <c r="E13" s="47">
        <f t="shared" si="0"/>
        <v>8</v>
      </c>
      <c r="F13" s="55" t="s">
        <v>697</v>
      </c>
    </row>
    <row r="14" spans="2:6" ht="15" customHeight="1" x14ac:dyDescent="0.3">
      <c r="B14" s="88" t="s">
        <v>85</v>
      </c>
      <c r="C14" s="89">
        <f>SUMIF(Loan_Book!D$6:D$22,B14,Loan_Book!H$6:H$22)</f>
        <v>18000000</v>
      </c>
      <c r="D14" s="90">
        <f>IF(Loan_Book_Summary!$D$5=0,0,C14/Loan_Book_Summary!$D$5)</f>
        <v>3.9432608576592365E-2</v>
      </c>
      <c r="E14" s="47">
        <f t="shared" si="0"/>
        <v>9</v>
      </c>
      <c r="F14" s="55" t="s">
        <v>698</v>
      </c>
    </row>
    <row r="15" spans="2:6" ht="15" customHeight="1" x14ac:dyDescent="0.3">
      <c r="B15" s="88" t="s">
        <v>38</v>
      </c>
      <c r="C15" s="89">
        <f>SUMIF(Loan_Book!D$6:D$22,B15,Loan_Book!H$6:H$22)</f>
        <v>15000000</v>
      </c>
      <c r="D15" s="90">
        <f>IF(Loan_Book_Summary!$D$5=0,0,C15/Loan_Book_Summary!$D$5)</f>
        <v>3.2860507147160302E-2</v>
      </c>
      <c r="E15" s="47">
        <f t="shared" si="0"/>
        <v>11</v>
      </c>
      <c r="F15" s="55" t="s">
        <v>699</v>
      </c>
    </row>
    <row r="16" spans="2:6" ht="15" customHeight="1" x14ac:dyDescent="0.3">
      <c r="B16" s="88" t="s">
        <v>88</v>
      </c>
      <c r="C16" s="89">
        <f>SUMIF(Loan_Book!D$6:D$22,B16,Loan_Book!H$6:H$22)</f>
        <v>14000000</v>
      </c>
      <c r="D16" s="90">
        <f>IF(Loan_Book_Summary!$D$5=0,0,C16/Loan_Book_Summary!$D$5)</f>
        <v>3.0669806670682951E-2</v>
      </c>
      <c r="E16" s="47">
        <f t="shared" si="0"/>
        <v>12</v>
      </c>
      <c r="F16" s="55" t="s">
        <v>700</v>
      </c>
    </row>
    <row r="17" spans="2:6" ht="15" customHeight="1" x14ac:dyDescent="0.3">
      <c r="B17" s="88" t="s">
        <v>45</v>
      </c>
      <c r="C17" s="89">
        <f>SUMIF(Loan_Book!D$6:D$22,B17,Loan_Book!H$6:H$22)</f>
        <v>12000000</v>
      </c>
      <c r="D17" s="90">
        <f>IF(Loan_Book_Summary!$D$5=0,0,C17/Loan_Book_Summary!$D$5)</f>
        <v>2.6288405717728242E-2</v>
      </c>
      <c r="E17" s="47">
        <f t="shared" si="0"/>
        <v>13</v>
      </c>
      <c r="F17" s="55" t="s">
        <v>701</v>
      </c>
    </row>
    <row r="18" spans="2:6" ht="15" customHeight="1" x14ac:dyDescent="0.3">
      <c r="B18" s="91" t="s">
        <v>702</v>
      </c>
      <c r="C18" s="92">
        <f>SUM(C5:C17)</f>
        <v>456475000</v>
      </c>
      <c r="D18" s="93">
        <f>SUM(D5:D17)</f>
        <v>1</v>
      </c>
      <c r="E18" s="94"/>
      <c r="F18" s="94"/>
    </row>
    <row r="20" spans="2:6" ht="15" customHeight="1" x14ac:dyDescent="0.3">
      <c r="B20" s="67" t="s">
        <v>703</v>
      </c>
      <c r="C20" s="67"/>
    </row>
    <row r="21" spans="2:6" ht="15" customHeight="1" x14ac:dyDescent="0.3">
      <c r="B21" s="46" t="s">
        <v>704</v>
      </c>
      <c r="C21" s="75">
        <f>MAX(C5:C17)</f>
        <v>120000000</v>
      </c>
    </row>
    <row r="22" spans="2:6" ht="15" customHeight="1" x14ac:dyDescent="0.3">
      <c r="B22" s="46" t="s">
        <v>705</v>
      </c>
      <c r="C22" s="76">
        <f>MAX(D5:D17)</f>
        <v>0.26288405717728242</v>
      </c>
    </row>
    <row r="23" spans="2:6" ht="15" customHeight="1" x14ac:dyDescent="0.3">
      <c r="B23" s="46" t="s">
        <v>706</v>
      </c>
      <c r="C23" s="76">
        <f>(LARGE(D5:D17,1)+LARGE(D5:D17,2)+LARGE(D5:D17,3))</f>
        <v>0.54104825017799441</v>
      </c>
    </row>
    <row r="25" spans="2:6" ht="15" customHeight="1" x14ac:dyDescent="0.3">
      <c r="B25" s="67" t="s">
        <v>707</v>
      </c>
      <c r="C25" s="67"/>
      <c r="D25" s="67"/>
      <c r="E25" s="67"/>
      <c r="F25" s="67"/>
    </row>
    <row r="26" spans="2:6" ht="15" customHeight="1" x14ac:dyDescent="0.3">
      <c r="B26" s="72" t="s">
        <v>708</v>
      </c>
      <c r="C26" s="72" t="s">
        <v>709</v>
      </c>
      <c r="D26" s="73" t="s">
        <v>710</v>
      </c>
      <c r="E26" s="73" t="s">
        <v>2</v>
      </c>
    </row>
    <row r="27" spans="2:6" ht="15" customHeight="1" x14ac:dyDescent="0.3">
      <c r="B27" s="46" t="s">
        <v>711</v>
      </c>
      <c r="C27" s="71">
        <f>SUMIF(Loan_Book!D6:D22,"Greystone Bridge Loan",Loan_Book!H6:H22)</f>
        <v>12000000</v>
      </c>
      <c r="D27" s="68">
        <f>C27/Loan_Book_Summary!$D$5</f>
        <v>2.6288405717728242E-2</v>
      </c>
      <c r="E27" s="69" t="s">
        <v>712</v>
      </c>
    </row>
    <row r="28" spans="2:6" ht="15" customHeight="1" x14ac:dyDescent="0.3">
      <c r="B28" s="46" t="s">
        <v>713</v>
      </c>
      <c r="C28" s="71">
        <f>Derivatives_IRS!C3</f>
        <v>250000000</v>
      </c>
      <c r="D28" s="69" t="s">
        <v>714</v>
      </c>
      <c r="E28" s="69" t="s">
        <v>715</v>
      </c>
    </row>
    <row r="29" spans="2:6" ht="15" customHeight="1" x14ac:dyDescent="0.3">
      <c r="B29" s="46" t="s">
        <v>716</v>
      </c>
      <c r="C29" s="71">
        <f>ABS(Cash_Ledger_Summary!D6)</f>
        <v>5250000</v>
      </c>
      <c r="D29" s="69" t="s">
        <v>717</v>
      </c>
      <c r="E29" s="69" t="s">
        <v>366</v>
      </c>
    </row>
    <row r="30" spans="2:6" ht="15" customHeight="1" x14ac:dyDescent="0.3">
      <c r="B30" s="46" t="s">
        <v>718</v>
      </c>
      <c r="C30" s="71">
        <f>ABS(Cash_Ledger_Summary!D7)</f>
        <v>93750</v>
      </c>
      <c r="D30" s="69" t="s">
        <v>719</v>
      </c>
      <c r="E30" s="69" t="s">
        <v>366</v>
      </c>
    </row>
    <row r="31" spans="2:6" ht="15" customHeight="1" x14ac:dyDescent="0.3">
      <c r="B31" s="46" t="s">
        <v>720</v>
      </c>
      <c r="C31" s="77">
        <f>C27+C28</f>
        <v>262000000</v>
      </c>
      <c r="D31" s="69" t="s">
        <v>721</v>
      </c>
      <c r="E31" s="69" t="s">
        <v>722</v>
      </c>
    </row>
    <row r="33" spans="2:7" ht="15" customHeight="1" x14ac:dyDescent="0.3">
      <c r="B33" s="74" t="s">
        <v>723</v>
      </c>
      <c r="C33" s="74"/>
      <c r="D33" s="74"/>
      <c r="E33" s="74"/>
      <c r="F33" s="74"/>
      <c r="G33" s="74"/>
    </row>
  </sheetData>
  <mergeCells count="4">
    <mergeCell ref="B33:G33"/>
    <mergeCell ref="B2:F2"/>
    <mergeCell ref="B25:F25"/>
    <mergeCell ref="B20:C20"/>
  </mergeCells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B2:B50"/>
  <sheetViews>
    <sheetView showGridLines="0" topLeftCell="A7" zoomScaleNormal="100" workbookViewId="0">
      <selection activeCell="B35" sqref="B35"/>
    </sheetView>
  </sheetViews>
  <sheetFormatPr defaultColWidth="8.6640625" defaultRowHeight="14.4" x14ac:dyDescent="0.3"/>
  <cols>
    <col min="1" max="1" width="1.88671875" customWidth="1"/>
    <col min="2" max="2" width="158.44140625" customWidth="1"/>
  </cols>
  <sheetData>
    <row r="2" spans="2:2" ht="14.25" customHeight="1" x14ac:dyDescent="0.3">
      <c r="B2" s="5" t="s">
        <v>653</v>
      </c>
    </row>
    <row r="3" spans="2:2" ht="14.25" customHeight="1" x14ac:dyDescent="0.3">
      <c r="B3" s="43" t="s">
        <v>654</v>
      </c>
    </row>
    <row r="5" spans="2:2" ht="14.25" customHeight="1" x14ac:dyDescent="0.3">
      <c r="B5" t="s">
        <v>655</v>
      </c>
    </row>
    <row r="9" spans="2:2" ht="14.25" customHeight="1" x14ac:dyDescent="0.3">
      <c r="B9" s="11" t="s">
        <v>656</v>
      </c>
    </row>
    <row r="10" spans="2:2" ht="14.25" customHeight="1" x14ac:dyDescent="0.3">
      <c r="B10" t="s">
        <v>657</v>
      </c>
    </row>
    <row r="11" spans="2:2" ht="14.25" customHeight="1" x14ac:dyDescent="0.3">
      <c r="B11" t="s">
        <v>658</v>
      </c>
    </row>
    <row r="12" spans="2:2" ht="14.25" customHeight="1" x14ac:dyDescent="0.3">
      <c r="B12" t="s">
        <v>659</v>
      </c>
    </row>
    <row r="13" spans="2:2" ht="14.25" customHeight="1" x14ac:dyDescent="0.3">
      <c r="B13" t="s">
        <v>660</v>
      </c>
    </row>
    <row r="14" spans="2:2" ht="14.25" customHeight="1" x14ac:dyDescent="0.3">
      <c r="B14" t="s">
        <v>661</v>
      </c>
    </row>
    <row r="18" spans="2:2" ht="14.25" customHeight="1" x14ac:dyDescent="0.3">
      <c r="B18" s="11" t="s">
        <v>662</v>
      </c>
    </row>
    <row r="19" spans="2:2" ht="14.25" customHeight="1" x14ac:dyDescent="0.3">
      <c r="B19" t="s">
        <v>657</v>
      </c>
    </row>
    <row r="20" spans="2:2" ht="14.25" customHeight="1" x14ac:dyDescent="0.3">
      <c r="B20" t="s">
        <v>663</v>
      </c>
    </row>
    <row r="21" spans="2:2" ht="14.25" customHeight="1" x14ac:dyDescent="0.3">
      <c r="B21" t="s">
        <v>664</v>
      </c>
    </row>
    <row r="22" spans="2:2" ht="14.25" customHeight="1" x14ac:dyDescent="0.3">
      <c r="B22" t="s">
        <v>665</v>
      </c>
    </row>
    <row r="23" spans="2:2" ht="14.25" customHeight="1" x14ac:dyDescent="0.3">
      <c r="B23" t="s">
        <v>666</v>
      </c>
    </row>
    <row r="27" spans="2:2" ht="14.25" customHeight="1" x14ac:dyDescent="0.3">
      <c r="B27" s="11" t="s">
        <v>667</v>
      </c>
    </row>
    <row r="28" spans="2:2" ht="14.25" customHeight="1" x14ac:dyDescent="0.3">
      <c r="B28" t="s">
        <v>668</v>
      </c>
    </row>
    <row r="29" spans="2:2" ht="14.25" customHeight="1" x14ac:dyDescent="0.3">
      <c r="B29" t="s">
        <v>669</v>
      </c>
    </row>
    <row r="30" spans="2:2" ht="14.25" customHeight="1" x14ac:dyDescent="0.3">
      <c r="B30" t="s">
        <v>670</v>
      </c>
    </row>
    <row r="31" spans="2:2" ht="14.25" customHeight="1" x14ac:dyDescent="0.3">
      <c r="B31" t="s">
        <v>671</v>
      </c>
    </row>
    <row r="32" spans="2:2" ht="14.25" customHeight="1" x14ac:dyDescent="0.3">
      <c r="B32" t="s">
        <v>672</v>
      </c>
    </row>
    <row r="36" spans="2:2" ht="14.25" customHeight="1" x14ac:dyDescent="0.3">
      <c r="B36" s="11" t="s">
        <v>673</v>
      </c>
    </row>
    <row r="37" spans="2:2" ht="14.25" customHeight="1" x14ac:dyDescent="0.3">
      <c r="B37" t="s">
        <v>674</v>
      </c>
    </row>
    <row r="38" spans="2:2" ht="14.25" customHeight="1" x14ac:dyDescent="0.3">
      <c r="B38" t="s">
        <v>675</v>
      </c>
    </row>
    <row r="39" spans="2:2" ht="14.25" customHeight="1" x14ac:dyDescent="0.3">
      <c r="B39" t="s">
        <v>676</v>
      </c>
    </row>
    <row r="40" spans="2:2" ht="14.25" customHeight="1" x14ac:dyDescent="0.3">
      <c r="B40" t="s">
        <v>677</v>
      </c>
    </row>
    <row r="41" spans="2:2" ht="14.25" customHeight="1" x14ac:dyDescent="0.3">
      <c r="B41" t="s">
        <v>678</v>
      </c>
    </row>
    <row r="45" spans="2:2" ht="14.25" customHeight="1" x14ac:dyDescent="0.3">
      <c r="B45" s="11" t="s">
        <v>679</v>
      </c>
    </row>
    <row r="46" spans="2:2" ht="14.25" customHeight="1" x14ac:dyDescent="0.3">
      <c r="B46" t="s">
        <v>674</v>
      </c>
    </row>
    <row r="47" spans="2:2" ht="14.25" customHeight="1" x14ac:dyDescent="0.3">
      <c r="B47" t="s">
        <v>680</v>
      </c>
    </row>
    <row r="48" spans="2:2" ht="14.25" customHeight="1" x14ac:dyDescent="0.3">
      <c r="B48" t="s">
        <v>681</v>
      </c>
    </row>
    <row r="49" spans="2:2" ht="14.25" customHeight="1" x14ac:dyDescent="0.3">
      <c r="B49" t="s">
        <v>682</v>
      </c>
    </row>
    <row r="50" spans="2:2" ht="14.25" customHeight="1" x14ac:dyDescent="0.3">
      <c r="B50" t="s">
        <v>683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Loan_Book</vt:lpstr>
      <vt:lpstr>Loan_Book_Summary</vt:lpstr>
      <vt:lpstr>Derivatives_CDS</vt:lpstr>
      <vt:lpstr>Derivatives_FX_Forwards</vt:lpstr>
      <vt:lpstr>Derivatives_IRS</vt:lpstr>
      <vt:lpstr>Derivatives_MTM_Summary</vt:lpstr>
      <vt:lpstr>Derivatives_Options</vt:lpstr>
      <vt:lpstr>Leased_Assets_Summary</vt:lpstr>
      <vt:lpstr>Cash_Ledger_Summary</vt:lpstr>
      <vt:lpstr>Cash_vs_Recognised</vt:lpstr>
      <vt:lpstr>Performance_Metrics</vt:lpstr>
      <vt:lpstr>Decision_Quality</vt:lpstr>
      <vt:lpstr>Sensitivity_Analysis</vt:lpstr>
      <vt:lpstr>Stakeholder_Views</vt:lpstr>
      <vt:lpstr>Concentration_Analysis</vt:lpstr>
      <vt:lpstr>Recommendations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AAKASH</dc:creator>
  <dc:description/>
  <cp:lastModifiedBy>Aakash Malav</cp:lastModifiedBy>
  <cp:revision>0</cp:revision>
  <dcterms:created xsi:type="dcterms:W3CDTF">2015-06-05T18:17:20Z</dcterms:created>
  <dcterms:modified xsi:type="dcterms:W3CDTF">2026-08-20T11:31:21Z</dcterms:modified>
  <dc:language>en-US</dc:language>
</cp:coreProperties>
</file>